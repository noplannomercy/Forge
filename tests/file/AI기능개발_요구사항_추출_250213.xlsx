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.일하기\2025_건보_징수통합_차세대\"/>
    </mc:Choice>
  </mc:AlternateContent>
  <xr:revisionPtr revIDLastSave="0" documentId="8_{F0048BC3-BBE3-48CB-835F-875D890DD2A5}" xr6:coauthVersionLast="47" xr6:coauthVersionMax="47" xr10:uidLastSave="{00000000-0000-0000-0000-000000000000}"/>
  <bookViews>
    <workbookView xWindow="-98" yWindow="-98" windowWidth="21795" windowHeight="12975" activeTab="1" xr2:uid="{A6F90492-5ECA-4CF6-A4F2-7E364881980F}"/>
  </bookViews>
  <sheets>
    <sheet name="개발_요구사항목록" sheetId="1" r:id="rId1"/>
    <sheet name="AI기능개발_요구사항_추출_250213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3" i="1" l="1"/>
  <c r="G56" i="1"/>
  <c r="G51" i="1"/>
  <c r="G24" i="1"/>
  <c r="F63" i="1"/>
  <c r="F62" i="1"/>
  <c r="G62" i="1" s="1"/>
  <c r="F61" i="1"/>
  <c r="G61" i="1" s="1"/>
  <c r="F60" i="1"/>
  <c r="G60" i="1" s="1"/>
  <c r="F59" i="1"/>
  <c r="G59" i="1" s="1"/>
  <c r="F58" i="1"/>
  <c r="G58" i="1" s="1"/>
  <c r="F57" i="1"/>
  <c r="G57" i="1" s="1"/>
  <c r="F56" i="1"/>
  <c r="F55" i="1"/>
  <c r="G55" i="1" s="1"/>
  <c r="F54" i="1"/>
  <c r="G54" i="1" s="1"/>
  <c r="F53" i="1"/>
  <c r="G53" i="1" s="1"/>
  <c r="F52" i="1"/>
  <c r="G52" i="1" s="1"/>
  <c r="F51" i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F2" i="1"/>
  <c r="G2" i="1" s="1"/>
  <c r="E64" i="1"/>
  <c r="D64" i="1"/>
  <c r="G64" i="1" l="1"/>
  <c r="F64" i="1"/>
</calcChain>
</file>

<file path=xl/sharedStrings.xml><?xml version="1.0" encoding="utf-8"?>
<sst xmlns="http://schemas.openxmlformats.org/spreadsheetml/2006/main" count="348" uniqueCount="281">
  <si>
    <t>번호</t>
  </si>
  <si>
    <t>요구사항 명칭</t>
  </si>
  <si>
    <t>FUN-A-001</t>
  </si>
  <si>
    <t>공통 기능</t>
  </si>
  <si>
    <t>FUN-A-002</t>
  </si>
  <si>
    <t>FUN-A-003</t>
  </si>
  <si>
    <t>FUN-A-004</t>
  </si>
  <si>
    <t>FUN-A-005</t>
  </si>
  <si>
    <t>FUN-A-006</t>
  </si>
  <si>
    <t>FUN-A-007</t>
  </si>
  <si>
    <t>FUN-A-008</t>
  </si>
  <si>
    <t>FUN-A-009</t>
  </si>
  <si>
    <t>FUN-A-010</t>
  </si>
  <si>
    <t>FUN-A-011</t>
  </si>
  <si>
    <t>고객 중심 맞춤형 정보 제공을 통한 고객만족도 향상 및 민원상담 발생 예방 시스템 구축</t>
  </si>
  <si>
    <t>FUN-B-001</t>
  </si>
  <si>
    <t>FUN-B-002</t>
  </si>
  <si>
    <t>FUN-B-003</t>
  </si>
  <si>
    <t>FUN-B-004</t>
  </si>
  <si>
    <t>FUN-B-005</t>
  </si>
  <si>
    <t>FUN-B-006</t>
  </si>
  <si>
    <t>FUN-B-007</t>
  </si>
  <si>
    <t>FUN-B-008</t>
  </si>
  <si>
    <t>FUN-B-009</t>
  </si>
  <si>
    <t>FUN-B-010</t>
  </si>
  <si>
    <t>FUN-B-011</t>
  </si>
  <si>
    <t>FUN-B-012</t>
  </si>
  <si>
    <t>FUN-B-013</t>
  </si>
  <si>
    <t>FUN-B-014</t>
  </si>
  <si>
    <t>FUN-B-015</t>
  </si>
  <si>
    <t>FUN-B-016</t>
  </si>
  <si>
    <t>FUN-B-017</t>
  </si>
  <si>
    <t>FUN-B-018</t>
  </si>
  <si>
    <t>FUN-B-019</t>
  </si>
  <si>
    <t>FUN-B-020</t>
  </si>
  <si>
    <t>FUN-B-021</t>
  </si>
  <si>
    <t>FUN-B-022</t>
  </si>
  <si>
    <t>FUN-B-023</t>
  </si>
  <si>
    <t>FUN-B-024</t>
  </si>
  <si>
    <t>FUN-B-025</t>
  </si>
  <si>
    <t>FUN-B-026</t>
  </si>
  <si>
    <t>FUN-B-027</t>
  </si>
  <si>
    <t>FUN-B-028</t>
  </si>
  <si>
    <t>FUN-B-029</t>
  </si>
  <si>
    <t>FUN-B-030</t>
  </si>
  <si>
    <t>FUN-B-031</t>
  </si>
  <si>
    <t>FUN-F-032</t>
  </si>
  <si>
    <t>FUN-F-033</t>
  </si>
  <si>
    <t>FUN-D-001</t>
  </si>
  <si>
    <t>FUN-D-002</t>
  </si>
  <si>
    <t>FUN-D-003</t>
  </si>
  <si>
    <t>FUN-D-004</t>
  </si>
  <si>
    <t>FUN-D-005</t>
  </si>
  <si>
    <t>FUN-D-006</t>
  </si>
  <si>
    <t>FUN-D-007</t>
  </si>
  <si>
    <t>FUN-D-008</t>
  </si>
  <si>
    <t>통합징수정보시스템 프로그램 개발 및 변경에 따른 DW 개발</t>
  </si>
  <si>
    <t>FUN-D-009</t>
  </si>
  <si>
    <t>통합징수정보시스템 정보연계 플랫폼 구축</t>
  </si>
  <si>
    <t>FUN-D-010</t>
  </si>
  <si>
    <t>개인정보 조회이력 등 관리 고도화</t>
  </si>
  <si>
    <t>FUN-E-001</t>
  </si>
  <si>
    <t>FUN-E-002</t>
  </si>
  <si>
    <t>FUN-E-003</t>
  </si>
  <si>
    <t>FUN-E-004</t>
  </si>
  <si>
    <t>FUN-F-001</t>
  </si>
  <si>
    <t>OpenAPI 기능의 활용성 확장 및 타 시스템 간 연계</t>
  </si>
  <si>
    <t>FUN-F-002</t>
  </si>
  <si>
    <t>AI SW 연계·활용 방안 검토</t>
  </si>
  <si>
    <t>FUN-F-003</t>
  </si>
  <si>
    <t>범정부 공통기반서비스 연계·활용 방안 검토</t>
  </si>
  <si>
    <t>FUN-F-004</t>
  </si>
  <si>
    <t>통합인증 공통기반(정부 통합인증, 모바일 신분증) 연계·활용 방안 검토</t>
  </si>
  <si>
    <t>자격관리/직장  자격취득/상실/변동) 직장 취득/상실/변동 기능 개선</t>
    <phoneticPr fontId="18" type="noConversion"/>
  </si>
  <si>
    <t>자격관리/가입자-피부양자)  피부양자 통계 관리 전산 프로그램 개선</t>
    <phoneticPr fontId="18" type="noConversion"/>
  </si>
  <si>
    <t>자격관리/자격조회) 피부양자 제출서류 SMS 안내 고도화</t>
    <phoneticPr fontId="18" type="noConversion"/>
  </si>
  <si>
    <t>/지역부과/정산) 지역보험료 정산 세부내역 구체화 표출</t>
    <phoneticPr fontId="18" type="noConversion"/>
  </si>
  <si>
    <t>/보수월액/정산)  국세청 소득자료 연계 내역 관련 화면 신설</t>
    <phoneticPr fontId="18" type="noConversion"/>
  </si>
  <si>
    <t>/공통/스마트팩스처리)  팩스 조회 화면 개선</t>
    <phoneticPr fontId="18" type="noConversion"/>
  </si>
  <si>
    <t>증명서진위확인기능 개선</t>
    <phoneticPr fontId="18" type="noConversion"/>
  </si>
  <si>
    <t>외부 연계기관 수신 자료 전환 기능 제공</t>
    <phoneticPr fontId="18" type="noConversion"/>
  </si>
  <si>
    <t>효율적 민원대응 서비스를 위한 통합민원관리체계 구축</t>
    <phoneticPr fontId="18" type="noConversion"/>
  </si>
  <si>
    <t>사용자  포털/공통 제공사항</t>
    <phoneticPr fontId="18" type="noConversion"/>
  </si>
  <si>
    <t>사용자  포털/로그인 기능 제공</t>
    <phoneticPr fontId="18" type="noConversion"/>
  </si>
  <si>
    <t>사용자 포털/포털이용지원 기능 제공</t>
    <phoneticPr fontId="18" type="noConversion"/>
  </si>
  <si>
    <t>사업장포털 서비스 개선에 따른 징수통합정보시스템 서비스 기능 제공</t>
    <phoneticPr fontId="18" type="noConversion"/>
  </si>
  <si>
    <t>허위취득 개연성 높은 직장가입자를 탐지하여 발췌하기 위한 허위취득탐지시스템 구축</t>
    <phoneticPr fontId="18" type="noConversion"/>
  </si>
  <si>
    <t>SW개발품질표준관리 업무 효율 개선</t>
    <phoneticPr fontId="18" type="noConversion"/>
  </si>
  <si>
    <t>공단직원의 현안 업무처리를 AI(인공지능) 기술을 활용하여 업무 지원하는 AI비서 시스템 신규 구축</t>
    <phoneticPr fontId="18" type="noConversion"/>
  </si>
  <si>
    <t>기타</t>
    <phoneticPr fontId="18" type="noConversion"/>
  </si>
  <si>
    <t>사용자 포털/사이트맵 기능 제공</t>
  </si>
  <si>
    <t>사용자 포털/회원가입 기능 제공</t>
  </si>
  <si>
    <t>사용자 포털/신고신청 공통 제공사항</t>
  </si>
  <si>
    <t>사용자 포털/신고신청/4대보험 공통신고 기능 제공</t>
  </si>
  <si>
    <t>사용자 포털/신고신청/건강보험 신고신청 기능 제공</t>
  </si>
  <si>
    <t>사용자 포털/신고신청/파일신고 기능 제공</t>
  </si>
  <si>
    <t>사용자 포털/신고신청/보낸문서 결과보기 기능 제공</t>
  </si>
  <si>
    <t>사용자 포털/받은문서/4대보험료 받은문서 기능 제공</t>
  </si>
  <si>
    <t>사용자 포털/받은문서/건강보험료 및 건강검진 기능 제공</t>
  </si>
  <si>
    <t>사용자 포털/받은문서/사업장 발송이력 조회 기능 제공</t>
  </si>
  <si>
    <t>사용자 포털/받은문서/사업장 알림 기능 제공</t>
  </si>
  <si>
    <t>사용자 포털/받은문서/문서보기 기능 제공</t>
  </si>
  <si>
    <t>사용자 포털/제증명/제증명신청 기능 제공</t>
  </si>
  <si>
    <t>사용자 포털/제증명/제증명 발급 확인 기능 제공</t>
  </si>
  <si>
    <t>사용자 포털/제증명/제증명 발급이력 확인 기능 제공</t>
  </si>
  <si>
    <t>사용자 포털/업무대행/업무대행 신고 기능 제공</t>
  </si>
  <si>
    <t>사용자 포털/업무대행/업무대행 받은문서 기능 제공</t>
  </si>
  <si>
    <t>사용자 포털/사업장관리 기능 제공</t>
  </si>
  <si>
    <t>사용자 포털/시스템환경 설정 기능 제공</t>
  </si>
  <si>
    <t>관리자 포털/공단직원 로그인 기능 제공</t>
  </si>
  <si>
    <t>관리자 포털/회원관리 기능 제공</t>
  </si>
  <si>
    <t>관리자 포털/포털관리 기능 제공</t>
  </si>
  <si>
    <t>관리자 포털/사업장 관리 기능 제공</t>
  </si>
  <si>
    <t>관리자 포털/메뉴 및 권한관리 기능 제공</t>
  </si>
  <si>
    <t>관리자 포털/사용이력관리 기능 제공</t>
  </si>
  <si>
    <t>관리자 포털/열람정보 관리 기능 제공</t>
  </si>
  <si>
    <t>관리자 포털/포털이용지원 관리 기능 제공</t>
  </si>
  <si>
    <t>사업장포털 내외부 정보연계 ①</t>
  </si>
  <si>
    <t>SW개발품질관리 업무 효율 개선</t>
  </si>
  <si>
    <t>개발관리 업무 효율 개선</t>
  </si>
  <si>
    <t>업무적용관리 효율 개선</t>
  </si>
  <si>
    <t>공통 관리 효율 개선</t>
  </si>
  <si>
    <t>ODS 적재 프로그램 변경</t>
    <phoneticPr fontId="18" type="noConversion"/>
  </si>
  <si>
    <t>FACT 적재 프로그램 대응 개발</t>
    <phoneticPr fontId="18" type="noConversion"/>
  </si>
  <si>
    <t>징수통합정보시스템</t>
  </si>
  <si>
    <t>AI기반 지능형 정보서비스</t>
  </si>
  <si>
    <t>대표홈페이지·모바일앱</t>
  </si>
  <si>
    <t xml:space="preserve">징수통합정보서비스  </t>
  </si>
  <si>
    <t xml:space="preserve">통합민원관리서비스  </t>
  </si>
  <si>
    <t>사업장포털</t>
  </si>
  <si>
    <t xml:space="preserve">허위취득탐지시스템 </t>
  </si>
  <si>
    <t xml:space="preserve">IT통합관리시스템 </t>
  </si>
  <si>
    <t xml:space="preserve">데이터웨어하우스 고도화 </t>
  </si>
  <si>
    <t>데이터웨어하우스 고도화</t>
  </si>
  <si>
    <t>AI민원 대응 전문지식 제공 시스템) 고객 민원 신속 대응을 위한 AI 기반의 전문지식 자료 검색, 제공 시스템 구현</t>
    <phoneticPr fontId="18" type="noConversion"/>
  </si>
  <si>
    <t>AI활용 요청자료 작성 지원 시스템) 외부기관 요청자료작성 지원을 위한 AI 기반의 유관 자료 검색, 제공 시스템 구현</t>
    <phoneticPr fontId="18" type="noConversion"/>
  </si>
  <si>
    <t>데이터 표준화 등 공통</t>
    <phoneticPr fontId="18" type="noConversion"/>
  </si>
  <si>
    <t>시스템</t>
    <phoneticPr fontId="18" type="noConversion"/>
  </si>
  <si>
    <t>M/M</t>
    <phoneticPr fontId="18" type="noConversion"/>
  </si>
  <si>
    <t>합계</t>
    <phoneticPr fontId="18" type="noConversion"/>
  </si>
  <si>
    <t>M/D</t>
    <phoneticPr fontId="18" type="noConversion"/>
  </si>
  <si>
    <t xml:space="preserve">M/M 설명 </t>
    <phoneticPr fontId="18" type="noConversion"/>
  </si>
  <si>
    <t>중급기술자 기준, 업무지식을 어느정도 보유하고, 시스템을 아는 투입인원기준</t>
    <phoneticPr fontId="18" type="noConversion"/>
  </si>
  <si>
    <t>관리 보정계수(보정2)</t>
    <phoneticPr fontId="18" type="noConversion"/>
  </si>
  <si>
    <t>업무지식 보정계수(보정1)</t>
    <phoneticPr fontId="18" type="noConversion"/>
  </si>
  <si>
    <t xml:space="preserve">업무지식이 부족하여 분석시간 소요예상 </t>
    <phoneticPr fontId="18" type="noConversion"/>
  </si>
  <si>
    <t>보정1</t>
    <phoneticPr fontId="18" type="noConversion"/>
  </si>
  <si>
    <t>관리노력 및 시행착오</t>
    <phoneticPr fontId="18" type="noConversion"/>
  </si>
  <si>
    <t>보정2</t>
    <phoneticPr fontId="18" type="noConversion"/>
  </si>
  <si>
    <t>서비스포털</t>
    <phoneticPr fontId="18" type="noConversion"/>
  </si>
  <si>
    <t>개인별 맞춤형 알림·안내를 위해 알림·안내 설정 기능을 제공</t>
    <phoneticPr fontId="18" type="noConversion"/>
  </si>
  <si>
    <t xml:space="preserve"> - 업무 민원, 건강보험 제도 변경, 보도자료 등 나의 업무 관련 알림·안내 설정하는 기능</t>
    <phoneticPr fontId="18" type="noConversion"/>
  </si>
  <si>
    <t xml:space="preserve"> - 관심 건강보험 관련 정부 정책, 제도 변경, 보도자료 등 나의 관심사항 관련 알림·안내 설정하는 기능</t>
    <phoneticPr fontId="18" type="noConversion"/>
  </si>
  <si>
    <t xml:space="preserve"> - 자료·데이터 자동 추천 설정 및 자동 추천 필터 기능</t>
    <phoneticPr fontId="18" type="noConversion"/>
  </si>
  <si>
    <t xml:space="preserve">  . 건강보험 법령, 장기요양보험 법령, 판례, 이의신청, 법률자문, 해설과 업무매뉴얼/편람, 민원데이터, 전문연구자료 등 내 업무와 관련하여 자동 추천 받을 자료·데이터를 설정 기능</t>
    <phoneticPr fontId="18" type="noConversion"/>
  </si>
  <si>
    <t xml:space="preserve">  . 알림과 추천자료의 정확도 및 양 조절을 위한 자동추천 유사 자료·데이터의 유사율(%) 조정 기능</t>
    <phoneticPr fontId="18" type="noConversion"/>
  </si>
  <si>
    <t>개인별 업무 분장표에서 주요 업무 키워드 추출하고 현안 발생 시 추출된 업무분장 키워드를 매핑하여 관련 현안 주요 내용을 요약하여 알림·안내하는 기능을 제공하여야 함</t>
  </si>
  <si>
    <t xml:space="preserve"> - 개인별 업무 분장표에서 주요 업무 키워드 추출 기능</t>
    <phoneticPr fontId="18" type="noConversion"/>
  </si>
  <si>
    <t xml:space="preserve"> - 현안 발생 시 추출된 업무분장의 키워드를 매핑하는 기능</t>
    <phoneticPr fontId="18" type="noConversion"/>
  </si>
  <si>
    <t xml:space="preserve"> - 업무분장 기반 선제적 알림·안내 정보를 제공하는 기능</t>
    <phoneticPr fontId="18" type="noConversion"/>
  </si>
  <si>
    <t>자동 추천된 업무지식·자료가 불충분 할 경우 추가 전문 검색을 통해 업무지식·자료를 획득하는 기능을 제공하여야 함</t>
  </si>
  <si>
    <t xml:space="preserve"> - 자동 추천자료 외 상세 자료 필요 시 전문 검색을 위한 키워드 입력 기능</t>
    <phoneticPr fontId="18" type="noConversion"/>
  </si>
  <si>
    <t xml:space="preserve"> - 입력된 키워드를 기반으로 키워드 및 벡터 검색의 AI기반 지능형 검색 기능</t>
    <phoneticPr fontId="18" type="noConversion"/>
  </si>
  <si>
    <t>검색 자료·데이터 목록 기능을 제공하여야 함</t>
  </si>
  <si>
    <t xml:space="preserve"> - 자료·데이터 자동 추천 설정된 현안의 자료·데이터를 목록으로 보여주는 기능</t>
    <phoneticPr fontId="18" type="noConversion"/>
  </si>
  <si>
    <t xml:space="preserve"> - 전문 검색 수행으로 조회된자료·데이터를 목록으로 보여주는 기능</t>
    <phoneticPr fontId="18" type="noConversion"/>
  </si>
  <si>
    <t xml:space="preserve"> - 검색된 현안의 자료·데이터의 상세내용을 조회하는 기능 </t>
    <phoneticPr fontId="18" type="noConversion"/>
  </si>
  <si>
    <t xml:space="preserve"> - 검색된 현안의 자료·데이터의 원문을 다운로드하는 기능</t>
    <phoneticPr fontId="18" type="noConversion"/>
  </si>
  <si>
    <t>지능형검색</t>
    <phoneticPr fontId="18" type="noConversion"/>
  </si>
  <si>
    <t>AI 비서 서비스 포털은 개인화 서비스 가능하도록 공단 마이오피스에 구현하도록 함</t>
    <phoneticPr fontId="18" type="noConversion"/>
  </si>
  <si>
    <t>상황과 의도를 이해한 의미검색, 이미지검색, 동영상검색, 다국어검색, 위치기반검색, 유사문서검색 멀티모달기능을 제공하여야 함</t>
  </si>
  <si>
    <t xml:space="preserve"> - 벡터검색과 키워드검색의 장점을 합친 검색시스템 구조로 검색어가 정확하지 않아도 주어진 검색 쿼리와 가장 가까운 의미를 찾아 검색결과를 제공하는 기능</t>
    <phoneticPr fontId="18" type="noConversion"/>
  </si>
  <si>
    <t xml:space="preserve"> - 멀티모달검색으로 텍스트와 이미지 등 복합정보를 동시에 학습해 단일수단만으로 원하는 검색결과를 제공하는 기능 </t>
    <phoneticPr fontId="18" type="noConversion"/>
  </si>
  <si>
    <t>키워드 기반 검색, 벡터 기반 검색,검색 결과 리랭킹을 통해 질의자의 의도를 함의한 정확한 결과를 검색하는 기능을 제공하여야 함
- 질의별로 유사도가 높은 순으로 유사 자료·데이터를 추천하여 정보를 제공하는 기능
- 검색결과로 pdf, docx, xlsx, hwp형식의 정형 또는 비정형의 유사 자료를 추천하여 정보를 제공하는 기능
- 자연어 질의에 대한 정확한 검색 결과와 빠른 응답 성능을 제공</t>
    <phoneticPr fontId="18" type="noConversion"/>
  </si>
  <si>
    <t>&lt; FUN-E-001 &gt;</t>
    <phoneticPr fontId="18" type="noConversion"/>
  </si>
  <si>
    <t>&lt; FUN-E-002 &gt;</t>
    <phoneticPr fontId="18" type="noConversion"/>
  </si>
  <si>
    <t>공단직원의 현안 업무처리를 AI(인공지능) 기술을 활용하여 업무 지원하는 AI비서 시스템 신규 구축</t>
  </si>
  <si>
    <t>업무분장 기반 선제적 알림·안내 정보를 제공하고 알림 기반 업무지식·자료 자동 추천 서비스하는 AI비서 시스템 구축</t>
  </si>
  <si>
    <t>고객 민원 신속 대응을 위한 AI 기반의 전문지식 자료 검색, 제공 시스템 구현</t>
  </si>
  <si>
    <t>서비스 부문</t>
    <phoneticPr fontId="18" type="noConversion"/>
  </si>
  <si>
    <t xml:space="preserve">공단 지역본부 및 지사 업무 담당자에게 민원 요약 정보 내역 제공 화면 기능을 구현하여야 함 </t>
  </si>
  <si>
    <t xml:space="preserve">검색 자료·데이터 목록 기능을 제공하여야 함 </t>
  </si>
  <si>
    <t>고객 민원 요약 정보에서 주요 민원 키워드 추출하는 기능을 구현하여야 함</t>
  </si>
  <si>
    <t xml:space="preserve"> - 고객지원센터로 부터 호전환 된 고객 민원 요약정보 제공 기능</t>
    <phoneticPr fontId="18" type="noConversion"/>
  </si>
  <si>
    <t xml:space="preserve"> - 지역본부 또는 지사 담당자에 직결된 고객 민원 요약정보 제공 기능 </t>
    <phoneticPr fontId="18" type="noConversion"/>
  </si>
  <si>
    <t xml:space="preserve">업무 담당자가 상담과 동시에 상담내역을직접 등록 관리할 수 있는 고객 민원 관리 화면 기능을 구현하여야 함 </t>
    <phoneticPr fontId="18" type="noConversion"/>
  </si>
  <si>
    <t xml:space="preserve"> - 고객 민원 내역 및 상담 내용 정보 등록 관리 기능</t>
    <phoneticPr fontId="18" type="noConversion"/>
  </si>
  <si>
    <t xml:space="preserve"> - 기존사례/규정자료/판례 등 자료 검색 내역 제공 기능</t>
    <phoneticPr fontId="18" type="noConversion"/>
  </si>
  <si>
    <t xml:space="preserve"> - 자료·데이터 자동 추천 설정된 유관 자료·데이터 목록 제공 기능</t>
    <phoneticPr fontId="18" type="noConversion"/>
  </si>
  <si>
    <t xml:space="preserve"> - 전문 검색 수행으로 조회된 자료·데이터 목록 제공 기능</t>
    <phoneticPr fontId="18" type="noConversion"/>
  </si>
  <si>
    <t xml:space="preserve"> - 검색된 유관 자료·데이터의 상세내용 조회 기능</t>
    <phoneticPr fontId="18" type="noConversion"/>
  </si>
  <si>
    <t xml:space="preserve"> - 검색된 유관 자료·데이터의 원문 다운로드 기능 </t>
    <phoneticPr fontId="18" type="noConversion"/>
  </si>
  <si>
    <t xml:space="preserve"> - 검색 자료의 정확도 및 검색량조절을 위한 자동추천검색 유사 자료·데이터의 유사율(%) 조정 기능</t>
    <phoneticPr fontId="18" type="noConversion"/>
  </si>
  <si>
    <t>AI 지능형검색</t>
    <phoneticPr fontId="18" type="noConversion"/>
  </si>
  <si>
    <t>키워드 기반 검색, 벡터 기반 검색,검색 결과 리랭킹을 통해 질의자의 의도를 함의한 정확한 결과를 검색하는 기능을 제공하여야 함</t>
  </si>
  <si>
    <t xml:space="preserve"> - 질의별로 유사도가 높은 순으로 유사 자료·데이터를 추천하여 정보를 제공하는 기능</t>
    <phoneticPr fontId="18" type="noConversion"/>
  </si>
  <si>
    <t>키워드 기반 검색, 벡터 기반 검색,검색 결과 리랭킹을 통해 질의자의 의도를 함의한 정확한 결과를 검색하는 기능을 제공하여야 함</t>
    <phoneticPr fontId="18" type="noConversion"/>
  </si>
  <si>
    <t xml:space="preserve"> - 검색결과로 pdf, docx, xlsx, hwp형식의 정형 또는 비정형의 유사 자료를 추천하여 정보를 제공하는 기능</t>
    <phoneticPr fontId="18" type="noConversion"/>
  </si>
  <si>
    <t xml:space="preserve"> - 자연어 질의에 대한 정확한 검색 결과와 빠른 응답 성능을 제공</t>
    <phoneticPr fontId="18" type="noConversion"/>
  </si>
  <si>
    <t>&lt; FUN-E-003 &gt;</t>
    <phoneticPr fontId="18" type="noConversion"/>
  </si>
  <si>
    <t>외부기관 요청자료작성 지원을 위한 AI 기반의 유관 자료 검색, 제공 시스템 구현</t>
  </si>
  <si>
    <t xml:space="preserve">공단 본부 업무 주관 부서 담당자가 외부기관 요청자료 내역을 등록 관리할 수 있는 화면 기능을 구현하여야 함 </t>
  </si>
  <si>
    <t xml:space="preserve">외부기관 요청자료내역을 주요 키워드 검색을 통하여 관련 사례, 전문자료를 획득하는 기능을 제공하여야 함 </t>
  </si>
  <si>
    <t xml:space="preserve"> - 외부기관 요청자료 고객별, 주제별 등록관리 기능</t>
    <phoneticPr fontId="18" type="noConversion"/>
  </si>
  <si>
    <t xml:space="preserve"> - 작성 및 제출 부서 정의 등록 및 일정 관리 기능</t>
    <phoneticPr fontId="18" type="noConversion"/>
  </si>
  <si>
    <t xml:space="preserve"> - 작성 요청자료 보고서 수집 및 이력관리 기능 (첨부자료 포함)</t>
    <phoneticPr fontId="18" type="noConversion"/>
  </si>
  <si>
    <t xml:space="preserve">제출 부서 업무 담당자가 요청자료 보고서를 직접 등록 관리할 수 있는 화면 기능을 구현하여야 함 </t>
    <phoneticPr fontId="18" type="noConversion"/>
  </si>
  <si>
    <t xml:space="preserve"> - 요청자료 보고서 작성 등록 관리 기능 </t>
    <phoneticPr fontId="18" type="noConversion"/>
  </si>
  <si>
    <t xml:space="preserve"> - 기관별, 주제별 특성에 맞는 보고서 서식 관리 및 제공 기능</t>
    <phoneticPr fontId="18" type="noConversion"/>
  </si>
  <si>
    <t xml:space="preserve"> - 기존 사례/업무규정 등 자료 검색 내역 제공 기능</t>
    <phoneticPr fontId="18" type="noConversion"/>
  </si>
  <si>
    <t xml:space="preserve"> - 업무 현황 정보 검색을 위한 관련 단위 시스템으로의 직접 링크 기능</t>
    <phoneticPr fontId="18" type="noConversion"/>
  </si>
  <si>
    <t xml:space="preserve"> - 키워드 및 전문 검색 수행으로 조회된자료·데이터 목록 제공 기능</t>
    <phoneticPr fontId="18" type="noConversion"/>
  </si>
  <si>
    <t xml:space="preserve"> - 검색된 유관 자료·데이터의 원문 다운로드 기능</t>
    <phoneticPr fontId="18" type="noConversion"/>
  </si>
  <si>
    <t xml:space="preserve"> - 상세 자료 필요 시 전문 검색을 위한 키워드 입력 기능</t>
    <phoneticPr fontId="18" type="noConversion"/>
  </si>
  <si>
    <t xml:space="preserve"> - 멀티모달검색으로 텍스트와 이미지 등 복합정보를 동시에 학습해 단일수단만으로 원하는 검색결과를 제공하는 기능</t>
    <phoneticPr fontId="18" type="noConversion"/>
  </si>
  <si>
    <t>&lt; FUN-E-004 &gt;</t>
    <phoneticPr fontId="18" type="noConversion"/>
  </si>
  <si>
    <t>데이터 표준화 등 공통</t>
  </si>
  <si>
    <t>고객 민원 신속 대응을 위한 AI 기반 전문지식 검색 제공 서비스와 연동하여 AI기반 지능형 검색을 통해 전문지식·자료의 자동추천 서비스 지원을 위해 공단 정형데이터의 표준화(메타보완) 및 비정형 데이터의 정형화를 통한 표준화 대상 및 항목은 마이오피스, 업무매뉴얼/편람, 건강보험 법령, 내부규정, 해설자료 등 약 5만건 추정</t>
  </si>
  <si>
    <t>IT메타, 비즈메타, 품질, 흐름 및 데이터 거버넌스를 활용한 전략을 제시하고, 데이터 기반 서비스에서 통합저장소기반의 융·결합을 통한 데이터 활용을 극대화하기 위해 데이터 카탈로그를 구축함</t>
  </si>
  <si>
    <t>비정형 데이터의 정형화를 통한 표준화</t>
  </si>
  <si>
    <t>데이터 품질관리</t>
  </si>
  <si>
    <t xml:space="preserve"> - 데이터 카탈로그 정보에 비즈 메타정보 보완 및 관리, 정형데이터의 표준화, 비정형 데이터의 정형화, AI 기반 지능형 검색을 위한 자연어 처리 등 추가 반영하여 데이터 카탈로그 구축</t>
    <phoneticPr fontId="18" type="noConversion"/>
  </si>
  <si>
    <t xml:space="preserve"> - 데이터 카탈로그는 조회된 정형데이터에서 수집한 메타정보 뿐만 아니라 관련된 업무별 프로세스 메타정보,태깅정보까지 포함한 통합 카탈로그를 DCAT(v3.0)기준으로 구축</t>
    <phoneticPr fontId="18" type="noConversion"/>
  </si>
  <si>
    <t xml:space="preserve"> - 비정형 텍스트 데이터 표준화는 데이터 분석을 위한 필수적인 단계 중 하나로 데이터가 서로 다른 형식으로 입력되면 분석 결과가 왜곡될 가능성이 높으므로 일관된 형식으로 표준화</t>
    <phoneticPr fontId="18" type="noConversion"/>
  </si>
  <si>
    <t xml:space="preserve"> - 비정형데이터 메타데이터 표준관리는 비정형데이터 원천데이터에 대한 정보의 공통적으로 필요한 메타데이터 항목과 유형별 특성을 반영한 메타데이터 항목을 모두 관리</t>
    <phoneticPr fontId="18" type="noConversion"/>
  </si>
  <si>
    <t xml:space="preserve"> - 웹 페이지의 정보를 설명하고 검색 엔진에게 페이지의 내용을 이해하도록 도와주는 HTML 태그의 메타 태그 구축 </t>
    <phoneticPr fontId="18" type="noConversion"/>
  </si>
  <si>
    <t xml:space="preserve"> - 데이터 구축 각 단계별 품질관리 활동과 이를 측정하기 위한 품질기준과 품질검사방법 등을 제시하고 있는 인공지능 학습용 데이터 품질관리 가이드라인(NIA)에 따라 데이터 품질관리를 수행</t>
    <phoneticPr fontId="18" type="noConversion"/>
  </si>
  <si>
    <t>데이터 보안관리</t>
  </si>
  <si>
    <t>기타</t>
  </si>
  <si>
    <t>※ 사업 착수단계에서 생성형 AI 환경 기반 구축 가능성을 검토하여, 공단과 협의 후 진행</t>
  </si>
  <si>
    <t xml:space="preserve"> - 기밀, 보안데이터의 AI 자동 식별 및 차단 기능을 제공하여야 함</t>
    <phoneticPr fontId="18" type="noConversion"/>
  </si>
  <si>
    <t>시스템 관리 기능 개발</t>
    <phoneticPr fontId="18" type="noConversion"/>
  </si>
  <si>
    <t xml:space="preserve"> - 프롬프트(AI) 관리 기능 개발</t>
    <phoneticPr fontId="18" type="noConversion"/>
  </si>
  <si>
    <t xml:space="preserve"> - 사용자별, 카테고리별 등 질의 이력 조회, 삭제 지원</t>
    <phoneticPr fontId="18" type="noConversion"/>
  </si>
  <si>
    <t xml:space="preserve"> - 학습 데이터 및 연계 인터페이스 관리 기능</t>
    <phoneticPr fontId="18" type="noConversion"/>
  </si>
  <si>
    <t xml:space="preserve"> - AI 시스템 사용기록 로그 관리 기능 개발(접속기록과 행동 기록 간 분리)</t>
    <phoneticPr fontId="18" type="noConversion"/>
  </si>
  <si>
    <t xml:space="preserve"> - 통계 분석 및 리포트 기능 개발</t>
    <phoneticPr fontId="18" type="noConversion"/>
  </si>
  <si>
    <t xml:space="preserve"> - 사용자별, 그룹별 접근권한 관리 기능 개발</t>
    <phoneticPr fontId="18" type="noConversion"/>
  </si>
  <si>
    <t xml:space="preserve"> - SSO와 연계하여 관리자 및 운영자 로그인 지원</t>
    <phoneticPr fontId="18" type="noConversion"/>
  </si>
  <si>
    <t xml:space="preserve"> - 사용자 의견 피드백을 위한 기능 개발</t>
    <phoneticPr fontId="18" type="noConversion"/>
  </si>
  <si>
    <t>업무-알림 서비스 설계</t>
    <phoneticPr fontId="18" type="noConversion"/>
  </si>
  <si>
    <t>관심사항  서비스 설계</t>
    <phoneticPr fontId="18" type="noConversion"/>
  </si>
  <si>
    <t>자료추천 필터기능 설계</t>
    <phoneticPr fontId="18" type="noConversion"/>
  </si>
  <si>
    <t>자동추천 유사율 관리기능</t>
    <phoneticPr fontId="18" type="noConversion"/>
  </si>
  <si>
    <t>업무키워드 추출, 알림안내 매핑</t>
    <phoneticPr fontId="18" type="noConversion"/>
  </si>
  <si>
    <t>검색기능확장</t>
    <phoneticPr fontId="18" type="noConversion"/>
  </si>
  <si>
    <t>벡터검색(목록,상세,원문)</t>
    <phoneticPr fontId="18" type="noConversion"/>
  </si>
  <si>
    <t>의미,이미지,동영상,다국어,위치기반 검색</t>
    <phoneticPr fontId="18" type="noConversion"/>
  </si>
  <si>
    <t>멀티모달 기능 제공</t>
    <phoneticPr fontId="18" type="noConversion"/>
  </si>
  <si>
    <t>텍스트,이미지 복합정보 학습</t>
    <phoneticPr fontId="18" type="noConversion"/>
  </si>
  <si>
    <t>pdf, docx, xlsx, hwp 정보제공</t>
    <phoneticPr fontId="18" type="noConversion"/>
  </si>
  <si>
    <t>외부검색 확장</t>
    <phoneticPr fontId="18" type="noConversion"/>
  </si>
  <si>
    <t>민원요약 API</t>
    <phoneticPr fontId="18" type="noConversion"/>
  </si>
  <si>
    <t>STT, 민원내용관리는 콜센터 역할</t>
    <phoneticPr fontId="18" type="noConversion"/>
  </si>
  <si>
    <t>자료목록조회</t>
    <phoneticPr fontId="18" type="noConversion"/>
  </si>
  <si>
    <t>전문검색목록</t>
    <phoneticPr fontId="18" type="noConversion"/>
  </si>
  <si>
    <t>검색자료상세조회</t>
    <phoneticPr fontId="18" type="noConversion"/>
  </si>
  <si>
    <t>검색 원문 다운로드</t>
    <phoneticPr fontId="18" type="noConversion"/>
  </si>
  <si>
    <t>민원 키워드 추출 기능</t>
    <phoneticPr fontId="18" type="noConversion"/>
  </si>
  <si>
    <t>검색관리(유사율,표출건수)기능</t>
    <phoneticPr fontId="18" type="noConversion"/>
  </si>
  <si>
    <t>멀티모달 기능</t>
    <phoneticPr fontId="18" type="noConversion"/>
  </si>
  <si>
    <t>벡터검색+키워드검색=의미추론</t>
    <phoneticPr fontId="18" type="noConversion"/>
  </si>
  <si>
    <t>랭킹관리 기능</t>
    <phoneticPr fontId="18" type="noConversion"/>
  </si>
  <si>
    <t>검색결과 형식지원 : pdf, docx, xlsx, hwp형식</t>
    <phoneticPr fontId="18" type="noConversion"/>
  </si>
  <si>
    <t>공단본부용 :외부기관 요청자료 관리 기능</t>
    <phoneticPr fontId="18" type="noConversion"/>
  </si>
  <si>
    <t>제출부서용 :외부기관 요청자료 관리 기능</t>
    <phoneticPr fontId="18" type="noConversion"/>
  </si>
  <si>
    <t>검색확장 결과 등록 관리기능</t>
    <phoneticPr fontId="18" type="noConversion"/>
  </si>
  <si>
    <t>5만건 데이터 RAG 구축</t>
    <phoneticPr fontId="18" type="noConversion"/>
  </si>
  <si>
    <t>3차원 메타데이타 저장소 구축</t>
    <phoneticPr fontId="18" type="noConversion"/>
  </si>
  <si>
    <t>3차원 메타데이타 설계</t>
    <phoneticPr fontId="18" type="noConversion"/>
  </si>
  <si>
    <t>DCAT v3.0반영</t>
    <phoneticPr fontId="18" type="noConversion"/>
  </si>
  <si>
    <t>비정형 데이터 표준화</t>
    <phoneticPr fontId="18" type="noConversion"/>
  </si>
  <si>
    <t>NIA AI 학습용 데이터 구축 품질 가이드라인</t>
    <phoneticPr fontId="18" type="noConversion"/>
  </si>
  <si>
    <t>기밀,보안 데이타관리</t>
    <phoneticPr fontId="18" type="noConversion"/>
  </si>
  <si>
    <t>프롬프트 관리기능</t>
    <phoneticPr fontId="18" type="noConversion"/>
  </si>
  <si>
    <t>질의 이력,삭제지원</t>
    <phoneticPr fontId="18" type="noConversion"/>
  </si>
  <si>
    <t>학습데이타 관리기능</t>
    <phoneticPr fontId="18" type="noConversion"/>
  </si>
  <si>
    <t>통계항목 추출</t>
    <phoneticPr fontId="18" type="noConversion"/>
  </si>
  <si>
    <t>Description</t>
    <phoneticPr fontId="18" type="noConversion"/>
  </si>
  <si>
    <t>개발관련 요약</t>
    <phoneticPr fontId="18" type="noConversion"/>
  </si>
  <si>
    <t>Req No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</si>
</sst>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1"/>
      <color rgb="FF006100"/>
      <name val="맑은 고딕"/>
      <family val="2"/>
      <charset val="129"/>
    </font>
    <font>
      <sz val="11"/>
      <color rgb="FF9C0006"/>
      <name val="맑은 고딕"/>
      <family val="2"/>
      <charset val="129"/>
    </font>
    <font>
      <sz val="11"/>
      <color rgb="FF9C5700"/>
      <name val="맑은 고딕"/>
      <family val="2"/>
      <charset val="129"/>
    </font>
    <font>
      <sz val="11"/>
      <color rgb="FF3F3F76"/>
      <name val="맑은 고딕"/>
      <family val="2"/>
      <charset val="129"/>
    </font>
    <font>
      <b/>
      <sz val="11"/>
      <color rgb="FF3F3F3F"/>
      <name val="맑은 고딕"/>
      <family val="2"/>
      <charset val="129"/>
    </font>
    <font>
      <b/>
      <sz val="11"/>
      <color rgb="FFFA7D00"/>
      <name val="맑은 고딕"/>
      <family val="2"/>
      <charset val="129"/>
    </font>
    <font>
      <sz val="11"/>
      <color rgb="FFFA7D00"/>
      <name val="맑은 고딕"/>
      <family val="2"/>
      <charset val="129"/>
    </font>
    <font>
      <b/>
      <sz val="11"/>
      <color theme="0"/>
      <name val="맑은 고딕"/>
      <family val="2"/>
      <charset val="129"/>
    </font>
    <font>
      <sz val="11"/>
      <color rgb="FFFF0000"/>
      <name val="맑은 고딕"/>
      <family val="2"/>
      <charset val="129"/>
    </font>
    <font>
      <i/>
      <sz val="11"/>
      <color rgb="FF7F7F7F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sz val="11"/>
      <color theme="0"/>
      <name val="맑은 고딕"/>
      <family val="2"/>
      <charset val="129"/>
    </font>
    <font>
      <sz val="8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19" fillId="0" borderId="10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19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1" fontId="0" fillId="0" borderId="10" xfId="42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0" fillId="0" borderId="0" xfId="0" applyFont="1" applyAlignment="1">
      <alignment horizontal="justify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2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18" xfId="0" applyBorder="1">
      <alignment vertical="center"/>
    </xf>
    <xf numFmtId="0" fontId="20" fillId="0" borderId="12" xfId="0" applyFont="1" applyBorder="1" applyAlignment="1">
      <alignment horizontal="justify" vertical="center" wrapText="1"/>
    </xf>
    <xf numFmtId="0" fontId="20" fillId="0" borderId="18" xfId="0" applyFont="1" applyBorder="1" applyAlignment="1">
      <alignment horizontal="justify" vertical="center" wrapText="1"/>
    </xf>
    <xf numFmtId="0" fontId="20" fillId="0" borderId="13" xfId="0" applyFont="1" applyBorder="1" applyAlignment="1">
      <alignment horizontal="justify" vertical="center" wrapText="1"/>
    </xf>
    <xf numFmtId="0" fontId="20" fillId="0" borderId="10" xfId="0" applyFont="1" applyBorder="1" applyAlignment="1">
      <alignment horizontal="justify" vertical="center" wrapText="1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20" fillId="0" borderId="14" xfId="0" applyFont="1" applyBorder="1" applyAlignment="1">
      <alignment horizontal="left" vertical="center" wrapText="1"/>
    </xf>
    <xf numFmtId="0" fontId="20" fillId="0" borderId="22" xfId="0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9" xfId="0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A93CC-06D2-4911-BA44-6BF8C4285ED7}">
  <dimension ref="A1:G68"/>
  <sheetViews>
    <sheetView topLeftCell="A10" workbookViewId="0">
      <selection activeCell="E3" sqref="E3"/>
    </sheetView>
  </sheetViews>
  <sheetFormatPr defaultRowHeight="16.899999999999999" x14ac:dyDescent="0.6"/>
  <cols>
    <col min="1" max="1" width="14" customWidth="1"/>
    <col min="2" max="2" width="24.0625" bestFit="1" customWidth="1"/>
    <col min="3" max="3" width="66.125" customWidth="1"/>
    <col min="4" max="4" width="9" style="1"/>
    <col min="5" max="5" width="10.9375" style="1" bestFit="1" customWidth="1"/>
    <col min="6" max="6" width="9" style="1"/>
  </cols>
  <sheetData>
    <row r="1" spans="1:7" x14ac:dyDescent="0.6">
      <c r="A1" s="4" t="s">
        <v>0</v>
      </c>
      <c r="B1" s="4" t="s">
        <v>137</v>
      </c>
      <c r="C1" s="6" t="s">
        <v>1</v>
      </c>
      <c r="D1" s="4" t="s">
        <v>140</v>
      </c>
      <c r="E1" s="4" t="s">
        <v>138</v>
      </c>
      <c r="F1" s="4" t="s">
        <v>146</v>
      </c>
      <c r="G1" s="4" t="s">
        <v>148</v>
      </c>
    </row>
    <row r="2" spans="1:7" x14ac:dyDescent="0.6">
      <c r="A2" s="3" t="s">
        <v>2</v>
      </c>
      <c r="B2" s="3" t="s">
        <v>124</v>
      </c>
      <c r="C2" s="5" t="s">
        <v>3</v>
      </c>
      <c r="D2" s="2">
        <v>10</v>
      </c>
      <c r="E2" s="2">
        <v>0.5</v>
      </c>
      <c r="F2" s="2">
        <f>E2*$D$67</f>
        <v>1</v>
      </c>
      <c r="G2" s="2">
        <f>F2*$D$68</f>
        <v>2</v>
      </c>
    </row>
    <row r="3" spans="1:7" x14ac:dyDescent="0.6">
      <c r="A3" s="3" t="s">
        <v>4</v>
      </c>
      <c r="B3" s="3" t="s">
        <v>124</v>
      </c>
      <c r="C3" s="5" t="s">
        <v>74</v>
      </c>
      <c r="D3" s="2">
        <v>20</v>
      </c>
      <c r="E3" s="2">
        <v>1</v>
      </c>
      <c r="F3" s="2">
        <f t="shared" ref="F3:F63" si="0">E3*$D$67</f>
        <v>2</v>
      </c>
      <c r="G3" s="2">
        <f t="shared" ref="G3:G63" si="1">F3*$D$68</f>
        <v>4</v>
      </c>
    </row>
    <row r="4" spans="1:7" x14ac:dyDescent="0.6">
      <c r="A4" s="3" t="s">
        <v>5</v>
      </c>
      <c r="B4" s="3" t="s">
        <v>124</v>
      </c>
      <c r="C4" s="5" t="s">
        <v>73</v>
      </c>
      <c r="D4" s="2">
        <v>20</v>
      </c>
      <c r="E4" s="2">
        <v>1</v>
      </c>
      <c r="F4" s="2">
        <f t="shared" si="0"/>
        <v>2</v>
      </c>
      <c r="G4" s="2">
        <f t="shared" si="1"/>
        <v>4</v>
      </c>
    </row>
    <row r="5" spans="1:7" x14ac:dyDescent="0.6">
      <c r="A5" s="3" t="s">
        <v>6</v>
      </c>
      <c r="B5" s="3" t="s">
        <v>124</v>
      </c>
      <c r="C5" s="5" t="s">
        <v>75</v>
      </c>
      <c r="D5" s="2">
        <v>5</v>
      </c>
      <c r="E5" s="2">
        <v>0.25</v>
      </c>
      <c r="F5" s="2">
        <f t="shared" si="0"/>
        <v>0.5</v>
      </c>
      <c r="G5" s="2">
        <f t="shared" si="1"/>
        <v>1</v>
      </c>
    </row>
    <row r="6" spans="1:7" x14ac:dyDescent="0.6">
      <c r="A6" s="3" t="s">
        <v>7</v>
      </c>
      <c r="B6" s="3" t="s">
        <v>124</v>
      </c>
      <c r="C6" s="5" t="s">
        <v>76</v>
      </c>
      <c r="D6" s="2">
        <v>20</v>
      </c>
      <c r="E6" s="2">
        <v>1</v>
      </c>
      <c r="F6" s="2">
        <f t="shared" si="0"/>
        <v>2</v>
      </c>
      <c r="G6" s="2">
        <f t="shared" si="1"/>
        <v>4</v>
      </c>
    </row>
    <row r="7" spans="1:7" x14ac:dyDescent="0.6">
      <c r="A7" s="3" t="s">
        <v>8</v>
      </c>
      <c r="B7" s="3" t="s">
        <v>124</v>
      </c>
      <c r="C7" s="5" t="s">
        <v>77</v>
      </c>
      <c r="D7" s="2">
        <v>20</v>
      </c>
      <c r="E7" s="2">
        <v>1</v>
      </c>
      <c r="F7" s="2">
        <f t="shared" si="0"/>
        <v>2</v>
      </c>
      <c r="G7" s="2">
        <f t="shared" si="1"/>
        <v>4</v>
      </c>
    </row>
    <row r="8" spans="1:7" x14ac:dyDescent="0.6">
      <c r="A8" s="3" t="s">
        <v>9</v>
      </c>
      <c r="B8" s="3" t="s">
        <v>124</v>
      </c>
      <c r="C8" s="5" t="s">
        <v>78</v>
      </c>
      <c r="D8" s="2">
        <v>5</v>
      </c>
      <c r="E8" s="2">
        <v>0.25</v>
      </c>
      <c r="F8" s="2">
        <f t="shared" si="0"/>
        <v>0.5</v>
      </c>
      <c r="G8" s="2">
        <f t="shared" si="1"/>
        <v>1</v>
      </c>
    </row>
    <row r="9" spans="1:7" x14ac:dyDescent="0.6">
      <c r="A9" s="3" t="s">
        <v>10</v>
      </c>
      <c r="B9" s="3" t="s">
        <v>126</v>
      </c>
      <c r="C9" s="5" t="s">
        <v>79</v>
      </c>
      <c r="D9" s="2">
        <v>5</v>
      </c>
      <c r="E9" s="2">
        <v>0.25</v>
      </c>
      <c r="F9" s="2">
        <f t="shared" si="0"/>
        <v>0.5</v>
      </c>
      <c r="G9" s="2">
        <f t="shared" si="1"/>
        <v>1</v>
      </c>
    </row>
    <row r="10" spans="1:7" x14ac:dyDescent="0.6">
      <c r="A10" s="3" t="s">
        <v>11</v>
      </c>
      <c r="B10" s="3" t="s">
        <v>127</v>
      </c>
      <c r="C10" s="5" t="s">
        <v>80</v>
      </c>
      <c r="D10" s="2">
        <v>10</v>
      </c>
      <c r="E10" s="2">
        <v>0.5</v>
      </c>
      <c r="F10" s="2">
        <f t="shared" si="0"/>
        <v>1</v>
      </c>
      <c r="G10" s="2">
        <f t="shared" si="1"/>
        <v>2</v>
      </c>
    </row>
    <row r="11" spans="1:7" x14ac:dyDescent="0.6">
      <c r="A11" s="3" t="s">
        <v>12</v>
      </c>
      <c r="B11" s="3" t="s">
        <v>128</v>
      </c>
      <c r="C11" s="5" t="s">
        <v>81</v>
      </c>
      <c r="D11" s="2">
        <v>20</v>
      </c>
      <c r="E11" s="2">
        <v>1</v>
      </c>
      <c r="F11" s="2">
        <f t="shared" si="0"/>
        <v>2</v>
      </c>
      <c r="G11" s="2">
        <f t="shared" si="1"/>
        <v>4</v>
      </c>
    </row>
    <row r="12" spans="1:7" x14ac:dyDescent="0.6">
      <c r="A12" s="3" t="s">
        <v>13</v>
      </c>
      <c r="B12" s="3" t="s">
        <v>128</v>
      </c>
      <c r="C12" s="5" t="s">
        <v>14</v>
      </c>
      <c r="D12" s="2">
        <v>40</v>
      </c>
      <c r="E12" s="2">
        <v>2</v>
      </c>
      <c r="F12" s="2">
        <f t="shared" si="0"/>
        <v>4</v>
      </c>
      <c r="G12" s="2">
        <f t="shared" si="1"/>
        <v>8</v>
      </c>
    </row>
    <row r="13" spans="1:7" x14ac:dyDescent="0.6">
      <c r="A13" s="3" t="s">
        <v>15</v>
      </c>
      <c r="B13" s="3" t="s">
        <v>129</v>
      </c>
      <c r="C13" s="5" t="s">
        <v>82</v>
      </c>
      <c r="D13" s="2">
        <v>10</v>
      </c>
      <c r="E13" s="2">
        <v>0.5</v>
      </c>
      <c r="F13" s="2">
        <f t="shared" si="0"/>
        <v>1</v>
      </c>
      <c r="G13" s="2">
        <f t="shared" si="1"/>
        <v>2</v>
      </c>
    </row>
    <row r="14" spans="1:7" x14ac:dyDescent="0.6">
      <c r="A14" s="3" t="s">
        <v>16</v>
      </c>
      <c r="B14" s="3" t="s">
        <v>129</v>
      </c>
      <c r="C14" s="5" t="s">
        <v>83</v>
      </c>
      <c r="D14" s="2">
        <v>10</v>
      </c>
      <c r="E14" s="2">
        <v>0.5</v>
      </c>
      <c r="F14" s="2">
        <f t="shared" si="0"/>
        <v>1</v>
      </c>
      <c r="G14" s="2">
        <f t="shared" si="1"/>
        <v>2</v>
      </c>
    </row>
    <row r="15" spans="1:7" x14ac:dyDescent="0.6">
      <c r="A15" s="3" t="s">
        <v>17</v>
      </c>
      <c r="B15" s="3" t="s">
        <v>129</v>
      </c>
      <c r="C15" s="5" t="s">
        <v>84</v>
      </c>
      <c r="D15" s="2">
        <v>10</v>
      </c>
      <c r="E15" s="2">
        <v>0.5</v>
      </c>
      <c r="F15" s="2">
        <f t="shared" si="0"/>
        <v>1</v>
      </c>
      <c r="G15" s="2">
        <f t="shared" si="1"/>
        <v>2</v>
      </c>
    </row>
    <row r="16" spans="1:7" x14ac:dyDescent="0.6">
      <c r="A16" s="3" t="s">
        <v>18</v>
      </c>
      <c r="B16" s="3" t="s">
        <v>129</v>
      </c>
      <c r="C16" s="5" t="s">
        <v>90</v>
      </c>
      <c r="D16" s="2">
        <v>10</v>
      </c>
      <c r="E16" s="2">
        <v>0.5</v>
      </c>
      <c r="F16" s="2">
        <f t="shared" si="0"/>
        <v>1</v>
      </c>
      <c r="G16" s="2">
        <f t="shared" si="1"/>
        <v>2</v>
      </c>
    </row>
    <row r="17" spans="1:7" x14ac:dyDescent="0.6">
      <c r="A17" s="3" t="s">
        <v>19</v>
      </c>
      <c r="B17" s="3" t="s">
        <v>129</v>
      </c>
      <c r="C17" s="5" t="s">
        <v>91</v>
      </c>
      <c r="D17" s="2">
        <v>10</v>
      </c>
      <c r="E17" s="2">
        <v>0.5</v>
      </c>
      <c r="F17" s="2">
        <f t="shared" si="0"/>
        <v>1</v>
      </c>
      <c r="G17" s="2">
        <f t="shared" si="1"/>
        <v>2</v>
      </c>
    </row>
    <row r="18" spans="1:7" x14ac:dyDescent="0.6">
      <c r="A18" s="3" t="s">
        <v>20</v>
      </c>
      <c r="B18" s="3" t="s">
        <v>129</v>
      </c>
      <c r="C18" s="5" t="s">
        <v>92</v>
      </c>
      <c r="D18" s="2">
        <v>10</v>
      </c>
      <c r="E18" s="2">
        <v>0.5</v>
      </c>
      <c r="F18" s="2">
        <f t="shared" si="0"/>
        <v>1</v>
      </c>
      <c r="G18" s="2">
        <f t="shared" si="1"/>
        <v>2</v>
      </c>
    </row>
    <row r="19" spans="1:7" x14ac:dyDescent="0.6">
      <c r="A19" s="3" t="s">
        <v>21</v>
      </c>
      <c r="B19" s="3" t="s">
        <v>129</v>
      </c>
      <c r="C19" s="5" t="s">
        <v>93</v>
      </c>
      <c r="D19" s="2">
        <v>10</v>
      </c>
      <c r="E19" s="2">
        <v>0.5</v>
      </c>
      <c r="F19" s="2">
        <f t="shared" si="0"/>
        <v>1</v>
      </c>
      <c r="G19" s="2">
        <f t="shared" si="1"/>
        <v>2</v>
      </c>
    </row>
    <row r="20" spans="1:7" x14ac:dyDescent="0.6">
      <c r="A20" s="3" t="s">
        <v>22</v>
      </c>
      <c r="B20" s="3" t="s">
        <v>129</v>
      </c>
      <c r="C20" s="5" t="s">
        <v>94</v>
      </c>
      <c r="D20" s="2">
        <v>10</v>
      </c>
      <c r="E20" s="2">
        <v>0.5</v>
      </c>
      <c r="F20" s="2">
        <f t="shared" si="0"/>
        <v>1</v>
      </c>
      <c r="G20" s="2">
        <f t="shared" si="1"/>
        <v>2</v>
      </c>
    </row>
    <row r="21" spans="1:7" x14ac:dyDescent="0.6">
      <c r="A21" s="3" t="s">
        <v>23</v>
      </c>
      <c r="B21" s="3" t="s">
        <v>129</v>
      </c>
      <c r="C21" s="5" t="s">
        <v>95</v>
      </c>
      <c r="D21" s="2">
        <v>10</v>
      </c>
      <c r="E21" s="2">
        <v>0.5</v>
      </c>
      <c r="F21" s="2">
        <f t="shared" si="0"/>
        <v>1</v>
      </c>
      <c r="G21" s="2">
        <f t="shared" si="1"/>
        <v>2</v>
      </c>
    </row>
    <row r="22" spans="1:7" x14ac:dyDescent="0.6">
      <c r="A22" s="3" t="s">
        <v>24</v>
      </c>
      <c r="B22" s="3" t="s">
        <v>129</v>
      </c>
      <c r="C22" s="5" t="s">
        <v>96</v>
      </c>
      <c r="D22" s="2">
        <v>10</v>
      </c>
      <c r="E22" s="2">
        <v>0.5</v>
      </c>
      <c r="F22" s="2">
        <f t="shared" si="0"/>
        <v>1</v>
      </c>
      <c r="G22" s="2">
        <f t="shared" si="1"/>
        <v>2</v>
      </c>
    </row>
    <row r="23" spans="1:7" x14ac:dyDescent="0.6">
      <c r="A23" s="3" t="s">
        <v>25</v>
      </c>
      <c r="B23" s="3" t="s">
        <v>129</v>
      </c>
      <c r="C23" s="5" t="s">
        <v>97</v>
      </c>
      <c r="D23" s="2">
        <v>10</v>
      </c>
      <c r="E23" s="2">
        <v>0.5</v>
      </c>
      <c r="F23" s="2">
        <f t="shared" si="0"/>
        <v>1</v>
      </c>
      <c r="G23" s="2">
        <f t="shared" si="1"/>
        <v>2</v>
      </c>
    </row>
    <row r="24" spans="1:7" x14ac:dyDescent="0.6">
      <c r="A24" s="3" t="s">
        <v>26</v>
      </c>
      <c r="B24" s="3" t="s">
        <v>129</v>
      </c>
      <c r="C24" s="5" t="s">
        <v>98</v>
      </c>
      <c r="D24" s="2">
        <v>10</v>
      </c>
      <c r="E24" s="2">
        <v>0.5</v>
      </c>
      <c r="F24" s="2">
        <f t="shared" si="0"/>
        <v>1</v>
      </c>
      <c r="G24" s="2">
        <f t="shared" si="1"/>
        <v>2</v>
      </c>
    </row>
    <row r="25" spans="1:7" x14ac:dyDescent="0.6">
      <c r="A25" s="3" t="s">
        <v>27</v>
      </c>
      <c r="B25" s="3" t="s">
        <v>129</v>
      </c>
      <c r="C25" s="5" t="s">
        <v>99</v>
      </c>
      <c r="D25" s="2">
        <v>5</v>
      </c>
      <c r="E25" s="2">
        <v>0.25</v>
      </c>
      <c r="F25" s="2">
        <f t="shared" si="0"/>
        <v>0.5</v>
      </c>
      <c r="G25" s="2">
        <f t="shared" si="1"/>
        <v>1</v>
      </c>
    </row>
    <row r="26" spans="1:7" x14ac:dyDescent="0.6">
      <c r="A26" s="3" t="s">
        <v>28</v>
      </c>
      <c r="B26" s="3" t="s">
        <v>129</v>
      </c>
      <c r="C26" s="5" t="s">
        <v>100</v>
      </c>
      <c r="D26" s="2">
        <v>10</v>
      </c>
      <c r="E26" s="2">
        <v>0.5</v>
      </c>
      <c r="F26" s="2">
        <f t="shared" si="0"/>
        <v>1</v>
      </c>
      <c r="G26" s="2">
        <f t="shared" si="1"/>
        <v>2</v>
      </c>
    </row>
    <row r="27" spans="1:7" x14ac:dyDescent="0.6">
      <c r="A27" s="3" t="s">
        <v>29</v>
      </c>
      <c r="B27" s="3" t="s">
        <v>129</v>
      </c>
      <c r="C27" s="5" t="s">
        <v>101</v>
      </c>
      <c r="D27" s="2">
        <v>10</v>
      </c>
      <c r="E27" s="2">
        <v>0.5</v>
      </c>
      <c r="F27" s="2">
        <f t="shared" si="0"/>
        <v>1</v>
      </c>
      <c r="G27" s="2">
        <f t="shared" si="1"/>
        <v>2</v>
      </c>
    </row>
    <row r="28" spans="1:7" x14ac:dyDescent="0.6">
      <c r="A28" s="3" t="s">
        <v>30</v>
      </c>
      <c r="B28" s="3" t="s">
        <v>129</v>
      </c>
      <c r="C28" s="5" t="s">
        <v>102</v>
      </c>
      <c r="D28" s="2">
        <v>10</v>
      </c>
      <c r="E28" s="2">
        <v>0.5</v>
      </c>
      <c r="F28" s="2">
        <f t="shared" si="0"/>
        <v>1</v>
      </c>
      <c r="G28" s="2">
        <f t="shared" si="1"/>
        <v>2</v>
      </c>
    </row>
    <row r="29" spans="1:7" x14ac:dyDescent="0.6">
      <c r="A29" s="3" t="s">
        <v>31</v>
      </c>
      <c r="B29" s="3" t="s">
        <v>129</v>
      </c>
      <c r="C29" s="5" t="s">
        <v>103</v>
      </c>
      <c r="D29" s="2">
        <v>5</v>
      </c>
      <c r="E29" s="2">
        <v>0.25</v>
      </c>
      <c r="F29" s="2">
        <f t="shared" si="0"/>
        <v>0.5</v>
      </c>
      <c r="G29" s="2">
        <f t="shared" si="1"/>
        <v>1</v>
      </c>
    </row>
    <row r="30" spans="1:7" x14ac:dyDescent="0.6">
      <c r="A30" s="3" t="s">
        <v>32</v>
      </c>
      <c r="B30" s="3" t="s">
        <v>129</v>
      </c>
      <c r="C30" s="5" t="s">
        <v>104</v>
      </c>
      <c r="D30" s="2">
        <v>5</v>
      </c>
      <c r="E30" s="2">
        <v>0.25</v>
      </c>
      <c r="F30" s="2">
        <f t="shared" si="0"/>
        <v>0.5</v>
      </c>
      <c r="G30" s="2">
        <f t="shared" si="1"/>
        <v>1</v>
      </c>
    </row>
    <row r="31" spans="1:7" x14ac:dyDescent="0.6">
      <c r="A31" s="3" t="s">
        <v>33</v>
      </c>
      <c r="B31" s="3" t="s">
        <v>129</v>
      </c>
      <c r="C31" s="5" t="s">
        <v>105</v>
      </c>
      <c r="D31" s="2">
        <v>10</v>
      </c>
      <c r="E31" s="2">
        <v>0.5</v>
      </c>
      <c r="F31" s="2">
        <f t="shared" si="0"/>
        <v>1</v>
      </c>
      <c r="G31" s="2">
        <f t="shared" si="1"/>
        <v>2</v>
      </c>
    </row>
    <row r="32" spans="1:7" x14ac:dyDescent="0.6">
      <c r="A32" s="3" t="s">
        <v>34</v>
      </c>
      <c r="B32" s="3" t="s">
        <v>129</v>
      </c>
      <c r="C32" s="5" t="s">
        <v>106</v>
      </c>
      <c r="D32" s="2">
        <v>10</v>
      </c>
      <c r="E32" s="2">
        <v>0.5</v>
      </c>
      <c r="F32" s="2">
        <f t="shared" si="0"/>
        <v>1</v>
      </c>
      <c r="G32" s="2">
        <f t="shared" si="1"/>
        <v>2</v>
      </c>
    </row>
    <row r="33" spans="1:7" x14ac:dyDescent="0.6">
      <c r="A33" s="3" t="s">
        <v>35</v>
      </c>
      <c r="B33" s="3" t="s">
        <v>129</v>
      </c>
      <c r="C33" s="5" t="s">
        <v>107</v>
      </c>
      <c r="D33" s="2">
        <v>20</v>
      </c>
      <c r="E33" s="2">
        <v>1</v>
      </c>
      <c r="F33" s="2">
        <f t="shared" si="0"/>
        <v>2</v>
      </c>
      <c r="G33" s="2">
        <f t="shared" si="1"/>
        <v>4</v>
      </c>
    </row>
    <row r="34" spans="1:7" x14ac:dyDescent="0.6">
      <c r="A34" s="3" t="s">
        <v>36</v>
      </c>
      <c r="B34" s="3" t="s">
        <v>129</v>
      </c>
      <c r="C34" s="5" t="s">
        <v>108</v>
      </c>
      <c r="D34" s="2">
        <v>10</v>
      </c>
      <c r="E34" s="2">
        <v>0.5</v>
      </c>
      <c r="F34" s="2">
        <f t="shared" si="0"/>
        <v>1</v>
      </c>
      <c r="G34" s="2">
        <f t="shared" si="1"/>
        <v>2</v>
      </c>
    </row>
    <row r="35" spans="1:7" x14ac:dyDescent="0.6">
      <c r="A35" s="3" t="s">
        <v>37</v>
      </c>
      <c r="B35" s="3" t="s">
        <v>129</v>
      </c>
      <c r="C35" s="5" t="s">
        <v>109</v>
      </c>
      <c r="D35" s="2">
        <v>20</v>
      </c>
      <c r="E35" s="2">
        <v>1</v>
      </c>
      <c r="F35" s="2">
        <f t="shared" si="0"/>
        <v>2</v>
      </c>
      <c r="G35" s="2">
        <f t="shared" si="1"/>
        <v>4</v>
      </c>
    </row>
    <row r="36" spans="1:7" x14ac:dyDescent="0.6">
      <c r="A36" s="3" t="s">
        <v>38</v>
      </c>
      <c r="B36" s="3" t="s">
        <v>129</v>
      </c>
      <c r="C36" s="5" t="s">
        <v>110</v>
      </c>
      <c r="D36" s="2">
        <v>20</v>
      </c>
      <c r="E36" s="2">
        <v>1</v>
      </c>
      <c r="F36" s="2">
        <f t="shared" si="0"/>
        <v>2</v>
      </c>
      <c r="G36" s="2">
        <f t="shared" si="1"/>
        <v>4</v>
      </c>
    </row>
    <row r="37" spans="1:7" x14ac:dyDescent="0.6">
      <c r="A37" s="3" t="s">
        <v>39</v>
      </c>
      <c r="B37" s="3" t="s">
        <v>129</v>
      </c>
      <c r="C37" s="5" t="s">
        <v>111</v>
      </c>
      <c r="D37" s="2">
        <v>20</v>
      </c>
      <c r="E37" s="2">
        <v>1</v>
      </c>
      <c r="F37" s="2">
        <f t="shared" si="0"/>
        <v>2</v>
      </c>
      <c r="G37" s="2">
        <f t="shared" si="1"/>
        <v>4</v>
      </c>
    </row>
    <row r="38" spans="1:7" x14ac:dyDescent="0.6">
      <c r="A38" s="3" t="s">
        <v>40</v>
      </c>
      <c r="B38" s="3" t="s">
        <v>129</v>
      </c>
      <c r="C38" s="5" t="s">
        <v>112</v>
      </c>
      <c r="D38" s="2">
        <v>20</v>
      </c>
      <c r="E38" s="2">
        <v>1</v>
      </c>
      <c r="F38" s="2">
        <f t="shared" si="0"/>
        <v>2</v>
      </c>
      <c r="G38" s="2">
        <f t="shared" si="1"/>
        <v>4</v>
      </c>
    </row>
    <row r="39" spans="1:7" x14ac:dyDescent="0.6">
      <c r="A39" s="3" t="s">
        <v>41</v>
      </c>
      <c r="B39" s="3" t="s">
        <v>129</v>
      </c>
      <c r="C39" s="5" t="s">
        <v>113</v>
      </c>
      <c r="D39" s="2">
        <v>20</v>
      </c>
      <c r="E39" s="2">
        <v>1</v>
      </c>
      <c r="F39" s="2">
        <f t="shared" si="0"/>
        <v>2</v>
      </c>
      <c r="G39" s="2">
        <f t="shared" si="1"/>
        <v>4</v>
      </c>
    </row>
    <row r="40" spans="1:7" x14ac:dyDescent="0.6">
      <c r="A40" s="3" t="s">
        <v>42</v>
      </c>
      <c r="B40" s="3" t="s">
        <v>129</v>
      </c>
      <c r="C40" s="5" t="s">
        <v>114</v>
      </c>
      <c r="D40" s="2">
        <v>20</v>
      </c>
      <c r="E40" s="2">
        <v>1</v>
      </c>
      <c r="F40" s="2">
        <f t="shared" si="0"/>
        <v>2</v>
      </c>
      <c r="G40" s="2">
        <f t="shared" si="1"/>
        <v>4</v>
      </c>
    </row>
    <row r="41" spans="1:7" x14ac:dyDescent="0.6">
      <c r="A41" s="3" t="s">
        <v>43</v>
      </c>
      <c r="B41" s="3" t="s">
        <v>129</v>
      </c>
      <c r="C41" s="5" t="s">
        <v>115</v>
      </c>
      <c r="D41" s="2">
        <v>20</v>
      </c>
      <c r="E41" s="2">
        <v>1</v>
      </c>
      <c r="F41" s="2">
        <f t="shared" si="0"/>
        <v>2</v>
      </c>
      <c r="G41" s="2">
        <f t="shared" si="1"/>
        <v>4</v>
      </c>
    </row>
    <row r="42" spans="1:7" x14ac:dyDescent="0.6">
      <c r="A42" s="3" t="s">
        <v>44</v>
      </c>
      <c r="B42" s="3" t="s">
        <v>129</v>
      </c>
      <c r="C42" s="5" t="s">
        <v>116</v>
      </c>
      <c r="D42" s="2">
        <v>20</v>
      </c>
      <c r="E42" s="2">
        <v>1</v>
      </c>
      <c r="F42" s="2">
        <f t="shared" si="0"/>
        <v>2</v>
      </c>
      <c r="G42" s="2">
        <f t="shared" si="1"/>
        <v>4</v>
      </c>
    </row>
    <row r="43" spans="1:7" x14ac:dyDescent="0.6">
      <c r="A43" s="3" t="s">
        <v>45</v>
      </c>
      <c r="B43" s="3" t="s">
        <v>129</v>
      </c>
      <c r="C43" s="5" t="s">
        <v>117</v>
      </c>
      <c r="D43" s="2">
        <v>10</v>
      </c>
      <c r="E43" s="2">
        <v>0.5</v>
      </c>
      <c r="F43" s="2">
        <f t="shared" si="0"/>
        <v>1</v>
      </c>
      <c r="G43" s="2">
        <f t="shared" si="1"/>
        <v>2</v>
      </c>
    </row>
    <row r="44" spans="1:7" x14ac:dyDescent="0.6">
      <c r="A44" s="3" t="s">
        <v>46</v>
      </c>
      <c r="B44" s="3" t="s">
        <v>129</v>
      </c>
      <c r="C44" s="5" t="s">
        <v>85</v>
      </c>
      <c r="D44" s="2">
        <v>20</v>
      </c>
      <c r="E44" s="2">
        <v>1</v>
      </c>
      <c r="F44" s="2">
        <f t="shared" si="0"/>
        <v>2</v>
      </c>
      <c r="G44" s="2">
        <f t="shared" si="1"/>
        <v>4</v>
      </c>
    </row>
    <row r="45" spans="1:7" x14ac:dyDescent="0.6">
      <c r="A45" s="3" t="s">
        <v>47</v>
      </c>
      <c r="B45" s="3" t="s">
        <v>130</v>
      </c>
      <c r="C45" s="5" t="s">
        <v>86</v>
      </c>
      <c r="D45" s="2">
        <v>40</v>
      </c>
      <c r="E45" s="2">
        <v>2</v>
      </c>
      <c r="F45" s="2">
        <f t="shared" si="0"/>
        <v>4</v>
      </c>
      <c r="G45" s="2">
        <f t="shared" si="1"/>
        <v>8</v>
      </c>
    </row>
    <row r="46" spans="1:7" x14ac:dyDescent="0.6">
      <c r="A46" s="3" t="s">
        <v>48</v>
      </c>
      <c r="B46" s="3" t="s">
        <v>131</v>
      </c>
      <c r="C46" s="5" t="s">
        <v>87</v>
      </c>
      <c r="D46" s="2">
        <v>20</v>
      </c>
      <c r="E46" s="2">
        <v>1</v>
      </c>
      <c r="F46" s="2">
        <f t="shared" si="0"/>
        <v>2</v>
      </c>
      <c r="G46" s="2">
        <f t="shared" si="1"/>
        <v>4</v>
      </c>
    </row>
    <row r="47" spans="1:7" x14ac:dyDescent="0.6">
      <c r="A47" s="3" t="s">
        <v>49</v>
      </c>
      <c r="B47" s="3" t="s">
        <v>131</v>
      </c>
      <c r="C47" s="5" t="s">
        <v>118</v>
      </c>
      <c r="D47" s="2">
        <v>20</v>
      </c>
      <c r="E47" s="2">
        <v>1</v>
      </c>
      <c r="F47" s="2">
        <f t="shared" si="0"/>
        <v>2</v>
      </c>
      <c r="G47" s="2">
        <f t="shared" si="1"/>
        <v>4</v>
      </c>
    </row>
    <row r="48" spans="1:7" x14ac:dyDescent="0.6">
      <c r="A48" s="3" t="s">
        <v>50</v>
      </c>
      <c r="B48" s="3" t="s">
        <v>131</v>
      </c>
      <c r="C48" s="5" t="s">
        <v>119</v>
      </c>
      <c r="D48" s="2">
        <v>20</v>
      </c>
      <c r="E48" s="2">
        <v>1</v>
      </c>
      <c r="F48" s="2">
        <f t="shared" si="0"/>
        <v>2</v>
      </c>
      <c r="G48" s="2">
        <f t="shared" si="1"/>
        <v>4</v>
      </c>
    </row>
    <row r="49" spans="1:7" x14ac:dyDescent="0.6">
      <c r="A49" s="3" t="s">
        <v>51</v>
      </c>
      <c r="B49" s="3" t="s">
        <v>131</v>
      </c>
      <c r="C49" s="5" t="s">
        <v>120</v>
      </c>
      <c r="D49" s="2">
        <v>20</v>
      </c>
      <c r="E49" s="2">
        <v>1</v>
      </c>
      <c r="F49" s="2">
        <f t="shared" si="0"/>
        <v>2</v>
      </c>
      <c r="G49" s="2">
        <f t="shared" si="1"/>
        <v>4</v>
      </c>
    </row>
    <row r="50" spans="1:7" x14ac:dyDescent="0.6">
      <c r="A50" s="3" t="s">
        <v>52</v>
      </c>
      <c r="B50" s="3" t="s">
        <v>131</v>
      </c>
      <c r="C50" s="5" t="s">
        <v>121</v>
      </c>
      <c r="D50" s="2">
        <v>20</v>
      </c>
      <c r="E50" s="2">
        <v>1</v>
      </c>
      <c r="F50" s="2">
        <f t="shared" si="0"/>
        <v>2</v>
      </c>
      <c r="G50" s="2">
        <f t="shared" si="1"/>
        <v>4</v>
      </c>
    </row>
    <row r="51" spans="1:7" x14ac:dyDescent="0.6">
      <c r="A51" s="3" t="s">
        <v>53</v>
      </c>
      <c r="B51" s="3" t="s">
        <v>132</v>
      </c>
      <c r="C51" s="5" t="s">
        <v>122</v>
      </c>
      <c r="D51" s="2">
        <v>10</v>
      </c>
      <c r="E51" s="2">
        <v>0.5</v>
      </c>
      <c r="F51" s="2">
        <f t="shared" si="0"/>
        <v>1</v>
      </c>
      <c r="G51" s="2">
        <f t="shared" si="1"/>
        <v>2</v>
      </c>
    </row>
    <row r="52" spans="1:7" x14ac:dyDescent="0.6">
      <c r="A52" s="3" t="s">
        <v>54</v>
      </c>
      <c r="B52" s="3" t="s">
        <v>133</v>
      </c>
      <c r="C52" s="5" t="s">
        <v>123</v>
      </c>
      <c r="D52" s="2">
        <v>10</v>
      </c>
      <c r="E52" s="2">
        <v>0.5</v>
      </c>
      <c r="F52" s="2">
        <f t="shared" si="0"/>
        <v>1</v>
      </c>
      <c r="G52" s="2">
        <f t="shared" si="1"/>
        <v>2</v>
      </c>
    </row>
    <row r="53" spans="1:7" x14ac:dyDescent="0.6">
      <c r="A53" s="3" t="s">
        <v>55</v>
      </c>
      <c r="B53" s="3" t="s">
        <v>133</v>
      </c>
      <c r="C53" s="5" t="s">
        <v>56</v>
      </c>
      <c r="D53" s="2">
        <v>10</v>
      </c>
      <c r="E53" s="2">
        <v>0.5</v>
      </c>
      <c r="F53" s="2">
        <f t="shared" si="0"/>
        <v>1</v>
      </c>
      <c r="G53" s="2">
        <f t="shared" si="1"/>
        <v>2</v>
      </c>
    </row>
    <row r="54" spans="1:7" x14ac:dyDescent="0.6">
      <c r="A54" s="3" t="s">
        <v>57</v>
      </c>
      <c r="B54" s="3" t="s">
        <v>124</v>
      </c>
      <c r="C54" s="5" t="s">
        <v>58</v>
      </c>
      <c r="D54" s="2">
        <v>10</v>
      </c>
      <c r="E54" s="2">
        <v>0.5</v>
      </c>
      <c r="F54" s="2">
        <f t="shared" si="0"/>
        <v>1</v>
      </c>
      <c r="G54" s="2">
        <f t="shared" si="1"/>
        <v>2</v>
      </c>
    </row>
    <row r="55" spans="1:7" x14ac:dyDescent="0.6">
      <c r="A55" s="3" t="s">
        <v>59</v>
      </c>
      <c r="B55" s="3" t="s">
        <v>124</v>
      </c>
      <c r="C55" s="5" t="s">
        <v>60</v>
      </c>
      <c r="D55" s="2">
        <v>5</v>
      </c>
      <c r="E55" s="2">
        <v>0.25</v>
      </c>
      <c r="F55" s="2">
        <f t="shared" si="0"/>
        <v>0.5</v>
      </c>
      <c r="G55" s="2">
        <f t="shared" si="1"/>
        <v>1</v>
      </c>
    </row>
    <row r="56" spans="1:7" x14ac:dyDescent="0.6">
      <c r="A56" s="3" t="s">
        <v>61</v>
      </c>
      <c r="B56" s="3" t="s">
        <v>125</v>
      </c>
      <c r="C56" s="5" t="s">
        <v>88</v>
      </c>
      <c r="D56" s="2">
        <v>80</v>
      </c>
      <c r="E56" s="2">
        <v>4</v>
      </c>
      <c r="F56" s="2">
        <f t="shared" si="0"/>
        <v>8</v>
      </c>
      <c r="G56" s="2">
        <f t="shared" si="1"/>
        <v>16</v>
      </c>
    </row>
    <row r="57" spans="1:7" x14ac:dyDescent="0.6">
      <c r="A57" s="3" t="s">
        <v>62</v>
      </c>
      <c r="B57" s="3" t="s">
        <v>125</v>
      </c>
      <c r="C57" s="5" t="s">
        <v>134</v>
      </c>
      <c r="D57" s="2">
        <v>80</v>
      </c>
      <c r="E57" s="2">
        <v>4</v>
      </c>
      <c r="F57" s="2">
        <f t="shared" si="0"/>
        <v>8</v>
      </c>
      <c r="G57" s="2">
        <f t="shared" si="1"/>
        <v>16</v>
      </c>
    </row>
    <row r="58" spans="1:7" x14ac:dyDescent="0.6">
      <c r="A58" s="3" t="s">
        <v>63</v>
      </c>
      <c r="B58" s="3" t="s">
        <v>125</v>
      </c>
      <c r="C58" s="5" t="s">
        <v>135</v>
      </c>
      <c r="D58" s="2">
        <v>80</v>
      </c>
      <c r="E58" s="2">
        <v>4</v>
      </c>
      <c r="F58" s="2">
        <f t="shared" si="0"/>
        <v>8</v>
      </c>
      <c r="G58" s="2">
        <f t="shared" si="1"/>
        <v>16</v>
      </c>
    </row>
    <row r="59" spans="1:7" x14ac:dyDescent="0.6">
      <c r="A59" s="3" t="s">
        <v>64</v>
      </c>
      <c r="B59" s="3" t="s">
        <v>125</v>
      </c>
      <c r="C59" s="5" t="s">
        <v>136</v>
      </c>
      <c r="D59" s="2">
        <v>80</v>
      </c>
      <c r="E59" s="2">
        <v>4</v>
      </c>
      <c r="F59" s="2">
        <f t="shared" si="0"/>
        <v>8</v>
      </c>
      <c r="G59" s="2">
        <f t="shared" si="1"/>
        <v>16</v>
      </c>
    </row>
    <row r="60" spans="1:7" x14ac:dyDescent="0.6">
      <c r="A60" s="3" t="s">
        <v>65</v>
      </c>
      <c r="B60" s="3" t="s">
        <v>89</v>
      </c>
      <c r="C60" s="5" t="s">
        <v>66</v>
      </c>
      <c r="D60" s="2">
        <v>10</v>
      </c>
      <c r="E60" s="2">
        <v>0.5</v>
      </c>
      <c r="F60" s="2">
        <f t="shared" si="0"/>
        <v>1</v>
      </c>
      <c r="G60" s="2">
        <f t="shared" si="1"/>
        <v>2</v>
      </c>
    </row>
    <row r="61" spans="1:7" x14ac:dyDescent="0.6">
      <c r="A61" s="3" t="s">
        <v>67</v>
      </c>
      <c r="B61" s="3" t="s">
        <v>89</v>
      </c>
      <c r="C61" s="5" t="s">
        <v>68</v>
      </c>
      <c r="D61" s="2">
        <v>10</v>
      </c>
      <c r="E61" s="2">
        <v>0.5</v>
      </c>
      <c r="F61" s="2">
        <f t="shared" si="0"/>
        <v>1</v>
      </c>
      <c r="G61" s="2">
        <f t="shared" si="1"/>
        <v>2</v>
      </c>
    </row>
    <row r="62" spans="1:7" x14ac:dyDescent="0.6">
      <c r="A62" s="3" t="s">
        <v>69</v>
      </c>
      <c r="B62" s="3" t="s">
        <v>89</v>
      </c>
      <c r="C62" s="5" t="s">
        <v>70</v>
      </c>
      <c r="D62" s="2">
        <v>10</v>
      </c>
      <c r="E62" s="2">
        <v>0.5</v>
      </c>
      <c r="F62" s="2">
        <f t="shared" si="0"/>
        <v>1</v>
      </c>
      <c r="G62" s="2">
        <f t="shared" si="1"/>
        <v>2</v>
      </c>
    </row>
    <row r="63" spans="1:7" x14ac:dyDescent="0.6">
      <c r="A63" s="3" t="s">
        <v>71</v>
      </c>
      <c r="B63" s="3" t="s">
        <v>89</v>
      </c>
      <c r="C63" s="5" t="s">
        <v>72</v>
      </c>
      <c r="D63" s="2">
        <v>20</v>
      </c>
      <c r="E63" s="2">
        <v>1</v>
      </c>
      <c r="F63" s="2">
        <f t="shared" si="0"/>
        <v>2</v>
      </c>
      <c r="G63" s="2">
        <f t="shared" si="1"/>
        <v>4</v>
      </c>
    </row>
    <row r="64" spans="1:7" x14ac:dyDescent="0.6">
      <c r="A64" s="3"/>
      <c r="B64" s="3"/>
      <c r="C64" s="7" t="s">
        <v>139</v>
      </c>
      <c r="D64" s="8">
        <f>SUM(D2:D63)</f>
        <v>1135</v>
      </c>
      <c r="E64" s="2">
        <f>SUM(E2:E63)</f>
        <v>56.75</v>
      </c>
      <c r="F64" s="2">
        <f>SUM(F2:F63)</f>
        <v>113.5</v>
      </c>
      <c r="G64" s="2">
        <f>SUM(G2:G63)</f>
        <v>227</v>
      </c>
    </row>
    <row r="66" spans="2:4" x14ac:dyDescent="0.6">
      <c r="B66" s="3" t="s">
        <v>141</v>
      </c>
      <c r="C66" s="3" t="s">
        <v>142</v>
      </c>
      <c r="D66" s="2">
        <v>1</v>
      </c>
    </row>
    <row r="67" spans="2:4" x14ac:dyDescent="0.6">
      <c r="B67" s="3" t="s">
        <v>144</v>
      </c>
      <c r="C67" s="3" t="s">
        <v>145</v>
      </c>
      <c r="D67" s="2">
        <v>2</v>
      </c>
    </row>
    <row r="68" spans="2:4" x14ac:dyDescent="0.6">
      <c r="B68" s="3" t="s">
        <v>143</v>
      </c>
      <c r="C68" s="3" t="s">
        <v>147</v>
      </c>
      <c r="D68" s="2">
        <v>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A13D5-AC18-4850-A61E-1680B7F1E4AB}">
  <dimension ref="A1:C102"/>
  <sheetViews>
    <sheetView tabSelected="1" view="pageBreakPreview" zoomScale="60" zoomScaleNormal="100" workbookViewId="0">
      <selection activeCell="H79" sqref="H79"/>
    </sheetView>
  </sheetViews>
  <sheetFormatPr defaultRowHeight="16.899999999999999" x14ac:dyDescent="0.6"/>
  <cols>
    <col min="1" max="1" width="16.25" customWidth="1"/>
    <col min="2" max="2" width="91.625" style="9" customWidth="1"/>
    <col min="3" max="3" width="38.6875" bestFit="1" customWidth="1"/>
  </cols>
  <sheetData>
    <row r="1" spans="1:3" x14ac:dyDescent="0.6">
      <c r="A1" s="4" t="s">
        <v>280</v>
      </c>
      <c r="B1" s="34" t="s">
        <v>278</v>
      </c>
      <c r="C1" s="4" t="s">
        <v>279</v>
      </c>
    </row>
    <row r="2" spans="1:3" x14ac:dyDescent="0.6">
      <c r="A2" s="13" t="s">
        <v>174</v>
      </c>
      <c r="B2" s="11" t="s">
        <v>176</v>
      </c>
      <c r="C2" s="17"/>
    </row>
    <row r="3" spans="1:3" x14ac:dyDescent="0.6">
      <c r="A3" s="16"/>
      <c r="B3" s="12" t="s">
        <v>177</v>
      </c>
      <c r="C3" s="18"/>
    </row>
    <row r="4" spans="1:3" x14ac:dyDescent="0.6">
      <c r="A4" s="17" t="s">
        <v>149</v>
      </c>
      <c r="B4" s="22" t="s">
        <v>150</v>
      </c>
      <c r="C4" s="17"/>
    </row>
    <row r="5" spans="1:3" x14ac:dyDescent="0.6">
      <c r="A5" s="24"/>
      <c r="B5" s="23" t="s">
        <v>151</v>
      </c>
      <c r="C5" s="24" t="s">
        <v>240</v>
      </c>
    </row>
    <row r="6" spans="1:3" x14ac:dyDescent="0.6">
      <c r="A6" s="24"/>
      <c r="B6" s="23" t="s">
        <v>152</v>
      </c>
      <c r="C6" s="24" t="s">
        <v>241</v>
      </c>
    </row>
    <row r="7" spans="1:3" x14ac:dyDescent="0.6">
      <c r="A7" s="24"/>
      <c r="B7" s="23" t="s">
        <v>153</v>
      </c>
      <c r="C7" s="24" t="s">
        <v>242</v>
      </c>
    </row>
    <row r="8" spans="1:3" ht="33.75" x14ac:dyDescent="0.6">
      <c r="A8" s="24"/>
      <c r="B8" s="23" t="s">
        <v>154</v>
      </c>
      <c r="C8" s="24"/>
    </row>
    <row r="9" spans="1:3" x14ac:dyDescent="0.6">
      <c r="A9" s="24"/>
      <c r="B9" s="23" t="s">
        <v>155</v>
      </c>
      <c r="C9" s="18" t="s">
        <v>243</v>
      </c>
    </row>
    <row r="10" spans="1:3" ht="33.75" x14ac:dyDescent="0.6">
      <c r="A10" s="24"/>
      <c r="B10" s="25" t="s">
        <v>156</v>
      </c>
      <c r="C10" s="17" t="s">
        <v>244</v>
      </c>
    </row>
    <row r="11" spans="1:3" x14ac:dyDescent="0.6">
      <c r="A11" s="24"/>
      <c r="B11" s="20" t="s">
        <v>157</v>
      </c>
      <c r="C11" s="24"/>
    </row>
    <row r="12" spans="1:3" x14ac:dyDescent="0.6">
      <c r="A12" s="24"/>
      <c r="B12" s="20" t="s">
        <v>158</v>
      </c>
      <c r="C12" s="24"/>
    </row>
    <row r="13" spans="1:3" x14ac:dyDescent="0.6">
      <c r="A13" s="24"/>
      <c r="B13" s="21" t="s">
        <v>159</v>
      </c>
      <c r="C13" s="18"/>
    </row>
    <row r="14" spans="1:3" x14ac:dyDescent="0.6">
      <c r="A14" s="24"/>
      <c r="B14" s="19" t="s">
        <v>160</v>
      </c>
      <c r="C14" s="17" t="s">
        <v>245</v>
      </c>
    </row>
    <row r="15" spans="1:3" x14ac:dyDescent="0.6">
      <c r="A15" s="24"/>
      <c r="B15" s="20" t="s">
        <v>161</v>
      </c>
      <c r="C15" s="24"/>
    </row>
    <row r="16" spans="1:3" x14ac:dyDescent="0.6">
      <c r="A16" s="24"/>
      <c r="B16" s="21" t="s">
        <v>162</v>
      </c>
      <c r="C16" s="24" t="s">
        <v>246</v>
      </c>
    </row>
    <row r="17" spans="1:3" x14ac:dyDescent="0.6">
      <c r="A17" s="24"/>
      <c r="B17" s="25" t="s">
        <v>163</v>
      </c>
      <c r="C17" s="17"/>
    </row>
    <row r="18" spans="1:3" x14ac:dyDescent="0.6">
      <c r="A18" s="24"/>
      <c r="B18" s="26" t="s">
        <v>164</v>
      </c>
      <c r="C18" s="24"/>
    </row>
    <row r="19" spans="1:3" x14ac:dyDescent="0.6">
      <c r="A19" s="24"/>
      <c r="B19" s="26" t="s">
        <v>165</v>
      </c>
      <c r="C19" s="24"/>
    </row>
    <row r="20" spans="1:3" x14ac:dyDescent="0.6">
      <c r="A20" s="24"/>
      <c r="B20" s="26" t="s">
        <v>166</v>
      </c>
      <c r="C20" s="24"/>
    </row>
    <row r="21" spans="1:3" x14ac:dyDescent="0.6">
      <c r="A21" s="24"/>
      <c r="B21" s="27" t="s">
        <v>167</v>
      </c>
      <c r="C21" s="18"/>
    </row>
    <row r="22" spans="1:3" x14ac:dyDescent="0.6">
      <c r="A22" s="18"/>
      <c r="B22" s="28" t="s">
        <v>169</v>
      </c>
      <c r="C22" s="3"/>
    </row>
    <row r="23" spans="1:3" ht="33.75" x14ac:dyDescent="0.6">
      <c r="A23" s="17" t="s">
        <v>168</v>
      </c>
      <c r="B23" s="19" t="s">
        <v>170</v>
      </c>
      <c r="C23" s="17" t="s">
        <v>247</v>
      </c>
    </row>
    <row r="24" spans="1:3" ht="33.75" x14ac:dyDescent="0.6">
      <c r="A24" s="24"/>
      <c r="B24" s="20" t="s">
        <v>171</v>
      </c>
      <c r="C24" s="24" t="s">
        <v>248</v>
      </c>
    </row>
    <row r="25" spans="1:3" x14ac:dyDescent="0.6">
      <c r="A25" s="24"/>
      <c r="B25" s="20" t="s">
        <v>172</v>
      </c>
      <c r="C25" s="24" t="s">
        <v>249</v>
      </c>
    </row>
    <row r="26" spans="1:3" ht="84.4" x14ac:dyDescent="0.6">
      <c r="A26" s="18"/>
      <c r="B26" s="21" t="s">
        <v>173</v>
      </c>
      <c r="C26" s="18" t="s">
        <v>250</v>
      </c>
    </row>
    <row r="28" spans="1:3" x14ac:dyDescent="0.6">
      <c r="A28" s="5" t="s">
        <v>175</v>
      </c>
      <c r="B28" s="31" t="s">
        <v>178</v>
      </c>
      <c r="C28" s="14" t="s">
        <v>251</v>
      </c>
    </row>
    <row r="29" spans="1:3" x14ac:dyDescent="0.6">
      <c r="A29" s="13" t="s">
        <v>179</v>
      </c>
      <c r="B29" s="19" t="s">
        <v>180</v>
      </c>
      <c r="C29" s="17" t="s">
        <v>252</v>
      </c>
    </row>
    <row r="30" spans="1:3" x14ac:dyDescent="0.6">
      <c r="A30" s="30"/>
      <c r="B30" s="20" t="s">
        <v>183</v>
      </c>
      <c r="C30" s="24"/>
    </row>
    <row r="31" spans="1:3" x14ac:dyDescent="0.6">
      <c r="A31" s="30"/>
      <c r="B31" s="21" t="s">
        <v>184</v>
      </c>
      <c r="C31" s="18"/>
    </row>
    <row r="32" spans="1:3" x14ac:dyDescent="0.6">
      <c r="A32" s="30"/>
      <c r="B32" s="19" t="s">
        <v>185</v>
      </c>
      <c r="C32" s="17" t="s">
        <v>253</v>
      </c>
    </row>
    <row r="33" spans="1:3" x14ac:dyDescent="0.6">
      <c r="A33" s="30"/>
      <c r="B33" s="20" t="s">
        <v>186</v>
      </c>
      <c r="C33" s="24"/>
    </row>
    <row r="34" spans="1:3" x14ac:dyDescent="0.6">
      <c r="A34" s="30"/>
      <c r="B34" s="21" t="s">
        <v>187</v>
      </c>
      <c r="C34" s="18"/>
    </row>
    <row r="35" spans="1:3" x14ac:dyDescent="0.6">
      <c r="A35" s="30"/>
      <c r="B35" s="19" t="s">
        <v>181</v>
      </c>
      <c r="C35" s="17"/>
    </row>
    <row r="36" spans="1:3" x14ac:dyDescent="0.6">
      <c r="A36" s="30"/>
      <c r="B36" s="20" t="s">
        <v>188</v>
      </c>
      <c r="C36" s="24" t="s">
        <v>254</v>
      </c>
    </row>
    <row r="37" spans="1:3" x14ac:dyDescent="0.6">
      <c r="A37" s="30"/>
      <c r="B37" s="20" t="s">
        <v>189</v>
      </c>
      <c r="C37" s="24" t="s">
        <v>255</v>
      </c>
    </row>
    <row r="38" spans="1:3" x14ac:dyDescent="0.6">
      <c r="A38" s="30"/>
      <c r="B38" s="20" t="s">
        <v>190</v>
      </c>
      <c r="C38" s="24" t="s">
        <v>256</v>
      </c>
    </row>
    <row r="39" spans="1:3" x14ac:dyDescent="0.6">
      <c r="A39" s="30"/>
      <c r="B39" s="21" t="s">
        <v>191</v>
      </c>
      <c r="C39" s="18" t="s">
        <v>257</v>
      </c>
    </row>
    <row r="40" spans="1:3" x14ac:dyDescent="0.6">
      <c r="A40" s="30"/>
      <c r="B40" s="19" t="s">
        <v>182</v>
      </c>
      <c r="C40" s="17" t="s">
        <v>258</v>
      </c>
    </row>
    <row r="41" spans="1:3" x14ac:dyDescent="0.6">
      <c r="A41" s="30"/>
      <c r="B41" s="21" t="s">
        <v>192</v>
      </c>
      <c r="C41" s="24" t="s">
        <v>259</v>
      </c>
    </row>
    <row r="42" spans="1:3" x14ac:dyDescent="0.6">
      <c r="A42" s="30"/>
      <c r="B42" s="19" t="s">
        <v>160</v>
      </c>
      <c r="C42" s="24"/>
    </row>
    <row r="43" spans="1:3" x14ac:dyDescent="0.6">
      <c r="A43" s="30"/>
      <c r="B43" s="20" t="s">
        <v>161</v>
      </c>
      <c r="C43" s="24"/>
    </row>
    <row r="44" spans="1:3" x14ac:dyDescent="0.6">
      <c r="A44" s="15"/>
      <c r="B44" s="20" t="s">
        <v>162</v>
      </c>
      <c r="C44" s="24"/>
    </row>
    <row r="45" spans="1:3" ht="33.75" x14ac:dyDescent="0.6">
      <c r="A45" s="13" t="s">
        <v>193</v>
      </c>
      <c r="B45" s="19" t="s">
        <v>170</v>
      </c>
      <c r="C45" s="17" t="s">
        <v>260</v>
      </c>
    </row>
    <row r="46" spans="1:3" ht="33.75" x14ac:dyDescent="0.6">
      <c r="A46" s="30"/>
      <c r="B46" s="20" t="s">
        <v>171</v>
      </c>
      <c r="C46" s="24" t="s">
        <v>261</v>
      </c>
    </row>
    <row r="47" spans="1:3" x14ac:dyDescent="0.6">
      <c r="A47" s="30"/>
      <c r="B47" s="21" t="s">
        <v>172</v>
      </c>
      <c r="C47" s="18"/>
    </row>
    <row r="48" spans="1:3" ht="33.75" x14ac:dyDescent="0.6">
      <c r="A48" s="30"/>
      <c r="B48" s="19" t="s">
        <v>196</v>
      </c>
      <c r="C48" s="17" t="s">
        <v>262</v>
      </c>
    </row>
    <row r="49" spans="1:3" x14ac:dyDescent="0.6">
      <c r="A49" s="30"/>
      <c r="B49" s="20" t="s">
        <v>195</v>
      </c>
      <c r="C49" s="24"/>
    </row>
    <row r="50" spans="1:3" x14ac:dyDescent="0.6">
      <c r="A50" s="30"/>
      <c r="B50" s="20" t="s">
        <v>197</v>
      </c>
      <c r="C50" s="24" t="s">
        <v>263</v>
      </c>
    </row>
    <row r="51" spans="1:3" x14ac:dyDescent="0.6">
      <c r="A51" s="15"/>
      <c r="B51" s="21" t="s">
        <v>198</v>
      </c>
      <c r="C51" s="18"/>
    </row>
    <row r="52" spans="1:3" x14ac:dyDescent="0.6">
      <c r="A52" s="15"/>
      <c r="B52" s="36"/>
      <c r="C52" s="37"/>
    </row>
    <row r="53" spans="1:3" x14ac:dyDescent="0.6">
      <c r="A53" s="5" t="s">
        <v>199</v>
      </c>
      <c r="B53" s="33" t="s">
        <v>200</v>
      </c>
      <c r="C53" s="14"/>
    </row>
    <row r="54" spans="1:3" x14ac:dyDescent="0.6">
      <c r="A54" s="30" t="s">
        <v>179</v>
      </c>
      <c r="B54" s="19" t="s">
        <v>201</v>
      </c>
      <c r="C54" s="17" t="s">
        <v>264</v>
      </c>
    </row>
    <row r="55" spans="1:3" x14ac:dyDescent="0.6">
      <c r="A55" s="30"/>
      <c r="B55" s="20" t="s">
        <v>203</v>
      </c>
      <c r="C55" s="24"/>
    </row>
    <row r="56" spans="1:3" x14ac:dyDescent="0.6">
      <c r="A56" s="30"/>
      <c r="B56" s="20" t="s">
        <v>204</v>
      </c>
      <c r="C56" s="24"/>
    </row>
    <row r="57" spans="1:3" x14ac:dyDescent="0.6">
      <c r="A57" s="30"/>
      <c r="B57" s="21" t="s">
        <v>205</v>
      </c>
      <c r="C57" s="18"/>
    </row>
    <row r="58" spans="1:3" x14ac:dyDescent="0.6">
      <c r="A58" s="30"/>
      <c r="B58" s="19" t="s">
        <v>206</v>
      </c>
      <c r="C58" s="17" t="s">
        <v>265</v>
      </c>
    </row>
    <row r="59" spans="1:3" x14ac:dyDescent="0.6">
      <c r="A59" s="30"/>
      <c r="B59" s="20" t="s">
        <v>207</v>
      </c>
      <c r="C59" s="24"/>
    </row>
    <row r="60" spans="1:3" x14ac:dyDescent="0.6">
      <c r="A60" s="30"/>
      <c r="B60" s="20" t="s">
        <v>208</v>
      </c>
      <c r="C60" s="24"/>
    </row>
    <row r="61" spans="1:3" x14ac:dyDescent="0.6">
      <c r="A61" s="30"/>
      <c r="B61" s="20" t="s">
        <v>209</v>
      </c>
      <c r="C61" s="24"/>
    </row>
    <row r="62" spans="1:3" x14ac:dyDescent="0.6">
      <c r="A62" s="30"/>
      <c r="B62" s="21" t="s">
        <v>210</v>
      </c>
      <c r="C62" s="18"/>
    </row>
    <row r="63" spans="1:3" x14ac:dyDescent="0.6">
      <c r="A63" s="30"/>
      <c r="B63" s="19" t="s">
        <v>181</v>
      </c>
      <c r="C63" s="17"/>
    </row>
    <row r="64" spans="1:3" x14ac:dyDescent="0.6">
      <c r="A64" s="30"/>
      <c r="B64" s="20" t="s">
        <v>211</v>
      </c>
      <c r="C64" s="24"/>
    </row>
    <row r="65" spans="1:3" x14ac:dyDescent="0.6">
      <c r="A65" s="30"/>
      <c r="B65" s="20" t="s">
        <v>190</v>
      </c>
      <c r="C65" s="24"/>
    </row>
    <row r="66" spans="1:3" x14ac:dyDescent="0.6">
      <c r="A66" s="30"/>
      <c r="B66" s="21" t="s">
        <v>212</v>
      </c>
      <c r="C66" s="18"/>
    </row>
    <row r="67" spans="1:3" x14ac:dyDescent="0.6">
      <c r="A67" s="30"/>
      <c r="B67" s="19" t="s">
        <v>202</v>
      </c>
      <c r="C67" s="17" t="s">
        <v>266</v>
      </c>
    </row>
    <row r="68" spans="1:3" x14ac:dyDescent="0.6">
      <c r="A68" s="30"/>
      <c r="B68" s="20" t="s">
        <v>213</v>
      </c>
      <c r="C68" s="24"/>
    </row>
    <row r="69" spans="1:3" x14ac:dyDescent="0.6">
      <c r="A69" s="15"/>
      <c r="B69" s="21" t="s">
        <v>162</v>
      </c>
      <c r="C69" s="18"/>
    </row>
    <row r="70" spans="1:3" ht="33.75" x14ac:dyDescent="0.6">
      <c r="A70" s="13" t="s">
        <v>193</v>
      </c>
      <c r="B70" s="19" t="s">
        <v>170</v>
      </c>
      <c r="C70" s="17"/>
    </row>
    <row r="71" spans="1:3" ht="33.75" x14ac:dyDescent="0.6">
      <c r="A71" s="30"/>
      <c r="B71" s="20" t="s">
        <v>171</v>
      </c>
      <c r="C71" s="24"/>
    </row>
    <row r="72" spans="1:3" x14ac:dyDescent="0.6">
      <c r="A72" s="30"/>
      <c r="B72" s="21" t="s">
        <v>214</v>
      </c>
      <c r="C72" s="18"/>
    </row>
    <row r="73" spans="1:3" ht="33.75" x14ac:dyDescent="0.6">
      <c r="A73" s="30"/>
      <c r="B73" s="19" t="s">
        <v>194</v>
      </c>
      <c r="C73" s="17"/>
    </row>
    <row r="74" spans="1:3" x14ac:dyDescent="0.6">
      <c r="A74" s="30"/>
      <c r="B74" s="20" t="s">
        <v>195</v>
      </c>
      <c r="C74" s="24"/>
    </row>
    <row r="75" spans="1:3" x14ac:dyDescent="0.6">
      <c r="A75" s="30"/>
      <c r="B75" s="20" t="s">
        <v>197</v>
      </c>
      <c r="C75" s="24"/>
    </row>
    <row r="76" spans="1:3" x14ac:dyDescent="0.6">
      <c r="A76" s="18"/>
      <c r="B76" s="21" t="s">
        <v>198</v>
      </c>
      <c r="C76" s="18"/>
    </row>
    <row r="77" spans="1:3" x14ac:dyDescent="0.6">
      <c r="A77" s="30"/>
      <c r="B77" s="35"/>
      <c r="C77" s="16"/>
    </row>
    <row r="78" spans="1:3" x14ac:dyDescent="0.6">
      <c r="A78" s="5" t="s">
        <v>215</v>
      </c>
      <c r="B78" s="32" t="s">
        <v>216</v>
      </c>
      <c r="C78" s="29"/>
    </row>
    <row r="79" spans="1:3" ht="50.65" x14ac:dyDescent="0.6">
      <c r="A79" s="30"/>
      <c r="B79" s="28" t="s">
        <v>217</v>
      </c>
      <c r="C79" s="3" t="s">
        <v>267</v>
      </c>
    </row>
    <row r="80" spans="1:3" ht="33.75" x14ac:dyDescent="0.6">
      <c r="A80" s="30"/>
      <c r="B80" s="25" t="s">
        <v>218</v>
      </c>
      <c r="C80" s="17" t="s">
        <v>268</v>
      </c>
    </row>
    <row r="81" spans="1:3" ht="33.75" x14ac:dyDescent="0.6">
      <c r="A81" s="24"/>
      <c r="B81" s="26" t="s">
        <v>221</v>
      </c>
      <c r="C81" s="24" t="s">
        <v>269</v>
      </c>
    </row>
    <row r="82" spans="1:3" ht="33.75" x14ac:dyDescent="0.6">
      <c r="A82" s="24"/>
      <c r="B82" s="27" t="s">
        <v>222</v>
      </c>
      <c r="C82" s="18" t="s">
        <v>270</v>
      </c>
    </row>
    <row r="83" spans="1:3" x14ac:dyDescent="0.6">
      <c r="A83" s="24"/>
      <c r="B83" s="25" t="s">
        <v>219</v>
      </c>
      <c r="C83" s="17"/>
    </row>
    <row r="84" spans="1:3" ht="33.75" x14ac:dyDescent="0.6">
      <c r="A84" s="24"/>
      <c r="B84" s="26" t="s">
        <v>223</v>
      </c>
      <c r="C84" s="24" t="s">
        <v>271</v>
      </c>
    </row>
    <row r="85" spans="1:3" ht="33.75" x14ac:dyDescent="0.6">
      <c r="A85" s="24"/>
      <c r="B85" s="26" t="s">
        <v>224</v>
      </c>
      <c r="C85" s="24"/>
    </row>
    <row r="86" spans="1:3" x14ac:dyDescent="0.6">
      <c r="A86" s="24"/>
      <c r="B86" s="26" t="s">
        <v>225</v>
      </c>
      <c r="C86" s="24"/>
    </row>
    <row r="87" spans="1:3" x14ac:dyDescent="0.6">
      <c r="A87" s="30"/>
      <c r="B87" s="25" t="s">
        <v>220</v>
      </c>
      <c r="C87" s="17" t="s">
        <v>272</v>
      </c>
    </row>
    <row r="88" spans="1:3" ht="33.75" x14ac:dyDescent="0.6">
      <c r="A88" s="30"/>
      <c r="B88" s="27" t="s">
        <v>226</v>
      </c>
      <c r="C88" s="18"/>
    </row>
    <row r="89" spans="1:3" x14ac:dyDescent="0.6">
      <c r="A89" s="30"/>
      <c r="B89" s="25" t="s">
        <v>227</v>
      </c>
      <c r="C89" s="17"/>
    </row>
    <row r="90" spans="1:3" x14ac:dyDescent="0.6">
      <c r="A90" s="30"/>
      <c r="B90" s="27" t="s">
        <v>230</v>
      </c>
      <c r="C90" s="18" t="s">
        <v>273</v>
      </c>
    </row>
    <row r="91" spans="1:3" x14ac:dyDescent="0.6">
      <c r="A91" s="30"/>
      <c r="B91" s="25" t="s">
        <v>231</v>
      </c>
      <c r="C91" s="17"/>
    </row>
    <row r="92" spans="1:3" x14ac:dyDescent="0.6">
      <c r="A92" s="30"/>
      <c r="B92" s="26" t="s">
        <v>232</v>
      </c>
      <c r="C92" s="24" t="s">
        <v>274</v>
      </c>
    </row>
    <row r="93" spans="1:3" x14ac:dyDescent="0.6">
      <c r="A93" s="30"/>
      <c r="B93" s="26" t="s">
        <v>233</v>
      </c>
      <c r="C93" s="24" t="s">
        <v>275</v>
      </c>
    </row>
    <row r="94" spans="1:3" x14ac:dyDescent="0.6">
      <c r="A94" s="30"/>
      <c r="B94" s="26" t="s">
        <v>234</v>
      </c>
      <c r="C94" s="24" t="s">
        <v>276</v>
      </c>
    </row>
    <row r="95" spans="1:3" x14ac:dyDescent="0.6">
      <c r="A95" s="30"/>
      <c r="B95" s="26" t="s">
        <v>235</v>
      </c>
      <c r="C95" s="24"/>
    </row>
    <row r="96" spans="1:3" x14ac:dyDescent="0.6">
      <c r="A96" s="30"/>
      <c r="B96" s="26" t="s">
        <v>236</v>
      </c>
      <c r="C96" s="24" t="s">
        <v>277</v>
      </c>
    </row>
    <row r="97" spans="1:3" x14ac:dyDescent="0.6">
      <c r="A97" s="30"/>
      <c r="B97" s="27" t="s">
        <v>237</v>
      </c>
      <c r="C97" s="18"/>
    </row>
    <row r="98" spans="1:3" x14ac:dyDescent="0.6">
      <c r="A98" s="30"/>
      <c r="B98" s="25" t="s">
        <v>228</v>
      </c>
      <c r="C98" s="17"/>
    </row>
    <row r="99" spans="1:3" x14ac:dyDescent="0.6">
      <c r="A99" s="30"/>
      <c r="B99" s="26" t="s">
        <v>238</v>
      </c>
      <c r="C99" s="24"/>
    </row>
    <row r="100" spans="1:3" x14ac:dyDescent="0.6">
      <c r="A100" s="30"/>
      <c r="B100" s="26" t="s">
        <v>239</v>
      </c>
      <c r="C100" s="24"/>
    </row>
    <row r="101" spans="1:3" x14ac:dyDescent="0.6">
      <c r="A101" s="15"/>
      <c r="B101" s="27"/>
      <c r="C101" s="18"/>
    </row>
    <row r="102" spans="1:3" x14ac:dyDescent="0.6">
      <c r="B102" s="10" t="s">
        <v>229</v>
      </c>
    </row>
  </sheetData>
  <phoneticPr fontId="18" type="noConversion"/>
  <pageMargins left="0.7" right="0.7" top="0.75" bottom="0.75" header="0.3" footer="0.3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개발_요구사항목록</vt:lpstr>
      <vt:lpstr>AI기능개발_요구사항_추출_250213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ewkim</dc:creator>
  <cp:lastModifiedBy>은우 김</cp:lastModifiedBy>
  <cp:lastPrinted>2025-02-13T05:54:41Z</cp:lastPrinted>
  <dcterms:created xsi:type="dcterms:W3CDTF">2025-02-12T10:07:31Z</dcterms:created>
  <dcterms:modified xsi:type="dcterms:W3CDTF">2025-02-13T05:57:21Z</dcterms:modified>
</cp:coreProperties>
</file>